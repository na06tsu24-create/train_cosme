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c7cfe5851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산정기준" sheetId="1" r:id="R923ca3e98bb2453b"/>
    <x:sheet xmlns:r="http://schemas.openxmlformats.org/officeDocument/2006/relationships" name="02_공간대관" sheetId="2" r:id="Rc31d5f6ddd82441d"/>
    <x:sheet xmlns:r="http://schemas.openxmlformats.org/officeDocument/2006/relationships" name="03_기획공간디자인" sheetId="3" r:id="R20f9570c30354af8"/>
    <x:sheet xmlns:r="http://schemas.openxmlformats.org/officeDocument/2006/relationships" name="04_공간시공VMD" sheetId="4" r:id="R0c93cb6d93ec4c1a"/>
    <x:sheet xmlns:r="http://schemas.openxmlformats.org/officeDocument/2006/relationships" name="05_철거원상복구" sheetId="5" r:id="Rbfcc8314889a40c8"/>
    <x:sheet xmlns:r="http://schemas.openxmlformats.org/officeDocument/2006/relationships" name="06_장비디지털" sheetId="6" r:id="Rd8313832d6c14252"/>
    <x:sheet xmlns:r="http://schemas.openxmlformats.org/officeDocument/2006/relationships" name="07_인쇄제작물" sheetId="7" r:id="R58b23759126a4269"/>
    <x:sheet xmlns:r="http://schemas.openxmlformats.org/officeDocument/2006/relationships" name="08_샘플테스터" sheetId="8" r:id="R186c74e367804c7d"/>
    <x:sheet xmlns:r="http://schemas.openxmlformats.org/officeDocument/2006/relationships" name="09_운영인력" sheetId="9" r:id="Rb506777d126746dd"/>
    <x:sheet xmlns:r="http://schemas.openxmlformats.org/officeDocument/2006/relationships" name="10_물류청소운영" sheetId="10" r:id="Rebcd1afb110d42d2"/>
    <x:sheet xmlns:r="http://schemas.openxmlformats.org/officeDocument/2006/relationships" name="11_홍보콘텐츠" sheetId="11" r:id="R427331ac7bb54363"/>
    <x:sheet xmlns:r="http://schemas.openxmlformats.org/officeDocument/2006/relationships" name="12_보험안전" sheetId="12" r:id="R73f8f926b7074235"/>
    <x:sheet xmlns:r="http://schemas.openxmlformats.org/officeDocument/2006/relationships" name="13_예비비" sheetId="13" r:id="R377319a06c0e4e2b"/>
    <x:sheet xmlns:r="http://schemas.openxmlformats.org/officeDocument/2006/relationships" name="14_총예산" sheetId="14" r:id="R3adcde9187604533"/>
    <x:sheet xmlns:r="http://schemas.openxmlformats.org/officeDocument/2006/relationships" name="00_한눈에보기" sheetId="15" r:id="R7941e044572d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원&quot;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4B5563"/>
      <x:name val="Carlito"/>
    </x:font>
    <x:font>
      <x:b/>
      <x:sz val="10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6F8"/>
      </x:patternFill>
    </x:fill>
    <x:fill>
      <x:patternFill patternType="solid">
        <x:fgColor rgb="FF254B6E"/>
      </x:patternFill>
    </x:fill>
    <x:fill>
      <x:patternFill patternType="solid">
        <x:fgColor rgb="FFEAF7EF"/>
      </x:patternFill>
    </x:fill>
    <x:fill>
      <x:patternFill patternType="solid">
        <x:fgColor rgb="FFFFF4CC"/>
      </x:patternFill>
    </x:fill>
    <x:fill>
      <x:patternFill patternType="solid">
        <x:fgColor rgb="FF00A84F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0" fontId="6" fillId="7" borderId="1" xfId="0" applyNumberFormat="1" applyFont="1" applyFill="1" applyBorder="1"/>
    <x:xf numFmtId="200" fontId="6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10f32f74b489f" /><Relationship Type="http://schemas.openxmlformats.org/officeDocument/2006/relationships/theme" Target="/xl/theme/theme1.xml" Id="R957ac35ef1de4157" /><Relationship Type="http://schemas.openxmlformats.org/officeDocument/2006/relationships/sharedStrings" Target="/xl/sharedStrings.xml" Id="R0361f26101d44617" /><Relationship Type="http://schemas.openxmlformats.org/officeDocument/2006/relationships/worksheet" Target="/xl/worksheets/sheet1.xml" Id="R923ca3e98bb2453b" /><Relationship Type="http://schemas.openxmlformats.org/officeDocument/2006/relationships/worksheet" Target="/xl/worksheets/sheet2.xml" Id="Rc31d5f6ddd82441d" /><Relationship Type="http://schemas.openxmlformats.org/officeDocument/2006/relationships/worksheet" Target="/xl/worksheets/sheet3.xml" Id="R20f9570c30354af8" /><Relationship Type="http://schemas.openxmlformats.org/officeDocument/2006/relationships/worksheet" Target="/xl/worksheets/sheet4.xml" Id="R0c93cb6d93ec4c1a" /><Relationship Type="http://schemas.openxmlformats.org/officeDocument/2006/relationships/worksheet" Target="/xl/worksheets/sheet5.xml" Id="Rbfcc8314889a40c8" /><Relationship Type="http://schemas.openxmlformats.org/officeDocument/2006/relationships/worksheet" Target="/xl/worksheets/sheet6.xml" Id="Rd8313832d6c14252" /><Relationship Type="http://schemas.openxmlformats.org/officeDocument/2006/relationships/worksheet" Target="/xl/worksheets/sheet7.xml" Id="R58b23759126a4269" /><Relationship Type="http://schemas.openxmlformats.org/officeDocument/2006/relationships/worksheet" Target="/xl/worksheets/sheet8.xml" Id="R186c74e367804c7d" /><Relationship Type="http://schemas.openxmlformats.org/officeDocument/2006/relationships/worksheet" Target="/xl/worksheets/sheet9.xml" Id="Rb506777d126746dd" /><Relationship Type="http://schemas.openxmlformats.org/officeDocument/2006/relationships/worksheet" Target="/xl/worksheets/sheet10.xml" Id="Rebcd1afb110d42d2" /><Relationship Type="http://schemas.openxmlformats.org/officeDocument/2006/relationships/worksheet" Target="/xl/worksheets/sheet11.xml" Id="R427331ac7bb54363" /><Relationship Type="http://schemas.openxmlformats.org/officeDocument/2006/relationships/worksheet" Target="/xl/worksheets/sheet12.xml" Id="R73f8f926b7074235" /><Relationship Type="http://schemas.openxmlformats.org/officeDocument/2006/relationships/worksheet" Target="/xl/worksheets/sheet13.xml" Id="R377319a06c0e4e2b" /><Relationship Type="http://schemas.openxmlformats.org/officeDocument/2006/relationships/worksheet" Target="/xl/worksheets/sheet14.xml" Id="R3adcde9187604533" /><Relationship Type="http://schemas.openxmlformats.org/officeDocument/2006/relationships/worksheet" Target="/xl/worksheets/sheet15.xml" Id="R7941e044572d4a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38" hidden="0" customWidth="1"/>
    <x:col min="4" max="4" width="34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</x:cols>
  <x:sheetData>
    <x:row r="1" ht="30" customHeight="1">
      <x:c r="A1" s="4" t="str">
        <x:v>1. 금액을 구분하는 기준</x:v>
      </x:c>
    </x:row>
    <x:row r="3" ht="34" customHeight="1">
      <x:c r="A3" s="10" t="str">
        <x:v>비슷한 팝업은 운영·공간 레퍼런스로만 참고하고, 실제 비용은 연무장길 33 대관료와 2026년 업체 공개가격·정식 견적을 기준으로 산정한다.</x:v>
      </x:c>
    </x:row>
    <x:row r="5">
      <x:c r="A5" s="18" t="str">
        <x:v>구분</x:v>
      </x:c>
      <x:c r="B5" s="18" t="str">
        <x:v>의미</x:v>
      </x:c>
      <x:c r="C5" s="18" t="str">
        <x:v>LUNEA 적용</x:v>
      </x:c>
      <x:c r="D5" s="18" t="str">
        <x:v>주의</x:v>
      </x:c>
      <x:c r="E5" s="18" t="str">
        <x:v>대표 기준/회사</x:v>
      </x:c>
      <x:c r="F5" s="18" t="str">
        <x:v>출처 URL</x:v>
      </x:c>
      <x:c r="G5" s="18" t="str">
        <x:v>금액 반영</x:v>
      </x:c>
      <x:c r="H5" s="18" t="str">
        <x:v>비고</x:v>
      </x:c>
    </x:row>
    <x:row r="6">
      <x:c r="A6" s="22" t="str">
        <x:v>참고 사례</x:v>
      </x:c>
      <x:c r="B6" s="22" t="str">
        <x:v>운영·VMD·공간 구성의 참고</x:v>
      </x:c>
      <x:c r="C6" s="22" t="str">
        <x:v>닥터포헤어=진단/웨이팅, 미쟝센=뷰티 VMD, 키엘·주미소=지하철 콘셉트</x:v>
      </x:c>
      <x:c r="D6" s="22" t="str">
        <x:v>참고 팝업 비용은 사용하지 않음</x:v>
      </x:c>
      <x:c r="E6" s="22" t="str">
        <x:v>닥터포헤어·미쟝센·키엘·주미소</x:v>
      </x:c>
      <x:c r="F6" s="22" t="str"/>
      <x:c r="G6" s="22" t="str">
        <x:v>0원</x:v>
      </x:c>
      <x:c r="H6" s="22" t="str"/>
    </x:row>
    <x:row r="7">
      <x:c r="A7" s="22" t="str">
        <x:v>비용 산정 기준</x:v>
      </x:c>
      <x:c r="B7" s="22" t="str">
        <x:v>실제 비용은 공개가격·정식견적 사용</x:v>
      </x:c>
      <x:c r="C7" s="22" t="str">
        <x:v>연무장길33+2026 업체가격</x:v>
      </x:c>
      <x:c r="D7" s="22" t="str">
        <x:v>임의의 팝업 평균비용 사용 금지</x:v>
      </x:c>
      <x:c r="E7" s="22" t="str">
        <x:v>실제 판매/서비스 업체</x:v>
      </x:c>
      <x:c r="F7" s="22" t="str"/>
      <x:c r="G7" s="22" t="str"/>
      <x:c r="H7" s="22" t="str"/>
    </x:row>
    <x:row r="8">
      <x:c r="A8" s="22" t="str">
        <x:v>공개가격</x:v>
      </x:c>
      <x:c r="B8" s="22" t="str">
        <x:v>공식/판매 페이지 표시가격</x:v>
      </x:c>
      <x:c r="C8" s="22" t="str">
        <x:v>표시가격 그대로 기록</x:v>
      </x:c>
      <x:c r="D8" s="22" t="str">
        <x:v>VAT·배송 포함여부 확인</x:v>
      </x:c>
      <x:c r="E8" s="22" t="str"/>
      <x:c r="F8" s="22" t="str"/>
      <x:c r="G8" s="22" t="str"/>
      <x:c r="H8" s="22" t="str"/>
    </x:row>
    <x:row r="9">
      <x:c r="A9" s="22" t="str">
        <x:v>공개가격 계산값</x:v>
      </x:c>
      <x:c r="B9" s="22" t="str">
        <x:v>공개단가×수량/일수/인원</x:v>
      </x:c>
      <x:c r="C9" s="22" t="str">
        <x:v>계산식 함께 기록</x:v>
      </x:c>
      <x:c r="D9" s="22" t="str">
        <x:v>최종 계약가와 다를 수 있음</x:v>
      </x:c>
      <x:c r="E9" s="22" t="str"/>
      <x:c r="F9" s="22" t="str"/>
      <x:c r="G9" s="22" t="str"/>
      <x:c r="H9" s="22" t="str"/>
    </x:row>
    <x:row r="10">
      <x:c r="A10" s="22" t="str">
        <x:v>예상 범위</x:v>
      </x:c>
      <x:c r="B10" s="22" t="str">
        <x:v>공개 시세를 LUNEA 조건에 적용</x:v>
      </x:c>
      <x:c r="C10" s="22" t="str">
        <x:v>확정가가 아님</x:v>
      </x:c>
      <x:c r="D10" s="22" t="str">
        <x:v>반드시 예상 표기</x:v>
      </x:c>
      <x:c r="E10" s="22" t="str"/>
      <x:c r="F10" s="22" t="str"/>
      <x:c r="G10" s="22" t="str"/>
      <x:c r="H10" s="22" t="str"/>
    </x:row>
    <x:row r="11">
      <x:c r="A11" s="22" t="str">
        <x:v>정식 견적 필요</x:v>
      </x:c>
      <x:c r="B11" s="22" t="str">
        <x:v>대관·시공·맞춤제작 등</x:v>
      </x:c>
      <x:c r="C11" s="22" t="str">
        <x:v>가격 비공개면 임의 계산 금지</x:v>
      </x:c>
      <x:c r="D11" s="22" t="str">
        <x:v>견적 수령 후 교체</x:v>
      </x:c>
      <x:c r="E11" s="22" t="str"/>
      <x:c r="F11" s="22" t="str"/>
      <x:c r="G11" s="22" t="str"/>
      <x:c r="H11" s="22" t="str"/>
    </x:row>
    <x:row r="12">
      <x:c r="A12" s="22" t="str">
        <x:v>반환 예정 자금</x:v>
      </x:c>
      <x:c r="B12" s="22" t="str">
        <x:v>보증금 등 행사 후 반환</x:v>
      </x:c>
      <x:c r="C12" s="22" t="str">
        <x:v>실행비와 분리</x:v>
      </x:c>
      <x:c r="D12" s="22" t="str">
        <x:v>총행사비에 합산하지 않음</x:v>
      </x:c>
      <x:c r="E12" s="22" t="str"/>
      <x:c r="F12" s="22" t="str"/>
      <x:c r="G12" s="22" t="str"/>
      <x:c r="H12" s="22" t="str"/>
    </x:row>
    <x:row r="15" ht="24" customHeight="1">
      <x:c r="A15" s="26" t="str">
        <x:v>1-2. 공통 발주 원칙</x:v>
      </x:c>
    </x:row>
    <x:row r="16">
      <x:c r="A16" s="18" t="str">
        <x:v>원칙</x:v>
      </x:c>
      <x:c r="B16" s="18" t="str">
        <x:v>내용</x:v>
      </x:c>
      <x:c r="C16" s="18" t="str">
        <x:v>적용 예시</x:v>
      </x:c>
      <x:c r="D16" s="18" t="str">
        <x:v>이유</x:v>
      </x:c>
      <x:c r="E16" s="18" t="str">
        <x:v>체크</x:v>
      </x:c>
      <x:c r="F16" s="18" t="str">
        <x:v>기준</x:v>
      </x:c>
      <x:c r="G16" s="18" t="str">
        <x:v>상태</x:v>
      </x:c>
      <x:c r="H16" s="18" t="str">
        <x:v>비고</x:v>
      </x:c>
    </x:row>
    <x:row r="17">
      <x:c r="A17" s="22" t="str">
        <x:v>동일 품목 묶음 발주</x:v>
      </x:c>
      <x:c r="B17" s="22" t="str">
        <x:v>한 업체가 가능한 품목은 묶음견적 우선</x:v>
      </x:c>
      <x:c r="C17" s="22" t="str">
        <x:v>레드프린팅: 스티커+카드+포스터+명찰+바인더</x:v>
      </x:c>
      <x:c r="D17" s="22" t="str">
        <x:v>배송·품질·커뮤니케이션 단순화</x:v>
      </x:c>
      <x:c r="E17" s="22" t="str">
        <x:v>MOQ/배송/VAT</x:v>
      </x:c>
      <x:c r="F17" s="22" t="str">
        <x:v>업체별 조건</x:v>
      </x:c>
      <x:c r="G17" s="22" t="str">
        <x:v>적용</x:v>
      </x:c>
      <x:c r="H17" s="22" t="str"/>
    </x:row>
    <x:row r="18">
      <x:c r="A18" s="22" t="str">
        <x:v>비교견적</x:v>
      </x:c>
      <x:c r="B18" s="22" t="str">
        <x:v>맞춤 시공·대관·보험 등 동일조건 비교</x:v>
      </x:c>
      <x:c r="C18" s="22" t="str">
        <x:v>시공사 최소 3개사</x:v>
      </x:c>
      <x:c r="D18" s="22" t="str">
        <x:v>총액 아닌 포함범위 비교</x:v>
      </x:c>
      <x:c r="E18" s="22" t="str">
        <x:v>공정/재료/설치/철거</x:v>
      </x:c>
      <x:c r="F18" s="22" t="str">
        <x:v>정식 견적</x:v>
      </x:c>
      <x:c r="G18" s="22" t="str">
        <x:v>적용</x:v>
      </x:c>
      <x:c r="H18" s="22" t="str"/>
    </x:row>
    <x:row r="19">
      <x:c r="A19" s="22" t="str">
        <x:v>중복비용 방지</x:v>
      </x:c>
      <x:c r="B19" s="22" t="str">
        <x:v>같은 작업을 여러 항목에 중복 반영하지 않음</x:v>
      </x:c>
      <x:c r="C19" s="22" t="str">
        <x:v>대형 VMD=4번, 운영 포스터=7번</x:v>
      </x:c>
      <x:c r="D19" s="22" t="str">
        <x:v>예산 과대계상 방지</x:v>
      </x:c>
      <x:c r="E19" s="22" t="str">
        <x:v>항목경계</x:v>
      </x:c>
      <x:c r="F19" s="22" t="str">
        <x:v>예산 구조</x:v>
      </x:c>
      <x:c r="G19" s="22" t="str">
        <x:v>적용</x:v>
      </x:c>
      <x:c r="H19" s="22" t="str"/>
    </x:row>
    <x:row r="20">
      <x:c r="A20" s="22" t="str">
        <x:v>미확정 금액 관리</x:v>
      </x:c>
      <x:c r="B20" s="22" t="str">
        <x:v>가격 비공개는 별도 견적</x:v>
      </x:c>
      <x:c r="C20" s="22" t="str">
        <x:v>샘플·보험·10일 포토부스</x:v>
      </x:c>
      <x:c r="D20" s="22" t="str">
        <x:v>근거 없는 추정 방지</x:v>
      </x:c>
      <x:c r="E20" s="22" t="str">
        <x:v>정식견적 후 업데이트</x:v>
      </x:c>
      <x:c r="F20" s="22" t="str">
        <x:v>가격원칙</x:v>
      </x:c>
      <x:c r="G20" s="22" t="str">
        <x:v>적용</x:v>
      </x:c>
      <x:c r="H20" s="22" t="str"/>
    </x:row>
  </x:sheetData>
  <x:mergeCells>
    <x:mergeCell ref="A1:H1"/>
    <x:mergeCell ref="A3:H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34" hidden="0" customWidth="1"/>
    <x:col min="5" max="5" width="26" hidden="0" customWidth="1"/>
    <x:col min="6" max="6" width="42" hidden="0" customWidth="1"/>
    <x:col min="7" max="7" width="14" hidden="0" customWidth="1"/>
    <x:col min="8" max="8" width="14" hidden="0" customWidth="1"/>
    <x:col min="9" max="9" width="12" hidden="0" customWidth="1"/>
  </x:cols>
  <x:sheetData>
    <x:row r="1" ht="30" customHeight="1">
      <x:c r="A1" s="4" t="str">
        <x:v>2. 공간 대관비</x:v>
      </x:c>
    </x:row>
    <x:row r="3" ht="34" customHeight="1">
      <x:c r="A3" s="10" t="str">
        <x:v>행사장: 성수 연무장길 33 / B1층·1층 우선 검토 / 설치 3일 + 리허설 1일 + 운영 10일 + 철거 1일 = 총 15일.</x:v>
      </x:c>
    </x:row>
    <x:row r="5" ht="24" customHeight="1">
      <x:c r="A5" s="26" t="str">
        <x:v>2-1. 대관 기본 조건</x:v>
      </x:c>
    </x:row>
    <x:row r="6">
      <x:c r="A6" s="18" t="str">
        <x:v>항목</x:v>
      </x:c>
      <x:c r="B6" s="18" t="str">
        <x:v>내용</x:v>
      </x:c>
      <x:c r="C6" s="18" t="str">
        <x:v>기준 업체/공간</x:v>
      </x:c>
      <x:c r="D6" s="18" t="str">
        <x:v>가격 기준</x:v>
      </x:c>
      <x:c r="E6" s="18" t="str">
        <x:v>수량/일수</x:v>
      </x:c>
      <x:c r="F6" s="18" t="str">
        <x:v>계산식</x:v>
      </x:c>
      <x:c r="G6" s="18" t="str">
        <x:v>반영액</x:v>
      </x:c>
      <x:c r="H6" s="18" t="str">
        <x:v>상태</x:v>
      </x:c>
      <x:c r="I6" s="18" t="str">
        <x:v>추가 확인</x:v>
      </x:c>
    </x:row>
    <x:row r="7">
      <x:c r="A7" s="22" t="str">
        <x:v>행사 장소</x:v>
      </x:c>
      <x:c r="B7" s="22" t="str">
        <x:v>성수 연무장길 33</x:v>
      </x:c>
      <x:c r="C7" s="22" t="str">
        <x:v>쉐어잇 연무장길33</x:v>
      </x:c>
      <x:c r="D7" s="22" t="str">
        <x:v>1일 7,000,000원~</x:v>
      </x:c>
      <x:c r="E7" s="22" t="str"/>
      <x:c r="F7" s="22" t="str"/>
      <x:c r="G7" s="28" t="str"/>
      <x:c r="H7" s="22" t="str">
        <x:v>공개 최소가</x:v>
      </x:c>
      <x:c r="I7" s="22" t="str">
        <x:v>B1·1F 적용 범위</x:v>
      </x:c>
    </x:row>
    <x:row r="8">
      <x:c r="A8" s="22" t="str">
        <x:v>사용 공간</x:v>
      </x:c>
      <x:c r="B8" s="22" t="str">
        <x:v>B1층·1층 우선 검토</x:v>
      </x:c>
      <x:c r="C8" s="22" t="str">
        <x:v>연무장길33</x:v>
      </x:c>
      <x:c r="D8" s="22" t="str">
        <x:v>층별 전용면적 미확정</x:v>
      </x:c>
      <x:c r="E8" s="22" t="str"/>
      <x:c r="F8" s="22" t="str"/>
      <x:c r="G8" s="28" t="str"/>
      <x:c r="H8" s="22" t="str">
        <x:v>정식 확인</x:v>
      </x:c>
      <x:c r="I8" s="22" t="str">
        <x:v>58평 이상/1F 체험면적</x:v>
      </x:c>
    </x:row>
    <x:row r="9">
      <x:c r="A9" s="22" t="str">
        <x:v>공간 시공·설치</x:v>
      </x:c>
      <x:c r="B9" s="22" t="str">
        <x:v>오픈 전 시공/세팅</x:v>
      </x:c>
      <x:c r="C9" s="22" t="str">
        <x:v>연무장길33</x:v>
      </x:c>
      <x:c r="D9" s="22" t="str">
        <x:v>7,000,000원/일</x:v>
      </x:c>
      <x:c r="E9" s="22" t="n">
        <x:v>3</x:v>
      </x:c>
      <x:c r="F9" s="22" t="str">
        <x:v>7,000,000×3</x:v>
      </x:c>
      <x:c r="G9" s="28" t="n">
        <x:v>21000000</x:v>
      </x:c>
      <x:c r="H9" s="22" t="str">
        <x:v>공개 최소가 계산</x:v>
      </x:c>
      <x:c r="I9" s="22" t="str">
        <x:v>야간작업</x:v>
      </x:c>
    </x:row>
    <x:row r="10">
      <x:c r="A10" s="22" t="str">
        <x:v>직원 리허설·교육</x:v>
      </x:c>
      <x:c r="B10" s="22" t="str">
        <x:v>현장 리허설</x:v>
      </x:c>
      <x:c r="C10" s="22" t="str">
        <x:v>연무장길33</x:v>
      </x:c>
      <x:c r="D10" s="22" t="str">
        <x:v>7,000,000원/일</x:v>
      </x:c>
      <x:c r="E10" s="22" t="n">
        <x:v>1</x:v>
      </x:c>
      <x:c r="F10" s="22" t="str">
        <x:v>7,000,000×1</x:v>
      </x:c>
      <x:c r="G10" s="28" t="n">
        <x:v>7000000</x:v>
      </x:c>
      <x:c r="H10" s="22" t="str">
        <x:v>공개 최소가 계산</x:v>
      </x:c>
      <x:c r="I10" s="22" t="str">
        <x:v>시간초과</x:v>
      </x:c>
    </x:row>
    <x:row r="11">
      <x:c r="A11" s="22" t="str">
        <x:v>고객 대상 운영</x:v>
      </x:c>
      <x:c r="B11" s="22" t="str">
        <x:v>고객 운영</x:v>
      </x:c>
      <x:c r="C11" s="22" t="str">
        <x:v>연무장길33</x:v>
      </x:c>
      <x:c r="D11" s="22" t="str">
        <x:v>7,000,000원/일</x:v>
      </x:c>
      <x:c r="E11" s="22" t="n">
        <x:v>10</x:v>
      </x:c>
      <x:c r="F11" s="22" t="str">
        <x:v>7,000,000×10</x:v>
      </x:c>
      <x:c r="G11" s="28" t="n">
        <x:v>70000000</x:v>
      </x:c>
      <x:c r="H11" s="22" t="str">
        <x:v>공개 최소가 계산</x:v>
      </x:c>
      <x:c r="I11" s="22" t="str">
        <x:v>운영시간</x:v>
      </x:c>
    </x:row>
    <x:row r="12">
      <x:c r="A12" s="22" t="str">
        <x:v>철거·원상복구</x:v>
      </x:c>
      <x:c r="B12" s="22" t="str">
        <x:v>철거</x:v>
      </x:c>
      <x:c r="C12" s="22" t="str">
        <x:v>연무장길33</x:v>
      </x:c>
      <x:c r="D12" s="22" t="str">
        <x:v>7,000,000원/일</x:v>
      </x:c>
      <x:c r="E12" s="22" t="n">
        <x:v>1</x:v>
      </x:c>
      <x:c r="F12" s="22" t="str">
        <x:v>7,000,000×1</x:v>
      </x:c>
      <x:c r="G12" s="28" t="n">
        <x:v>7000000</x:v>
      </x:c>
      <x:c r="H12" s="22" t="str">
        <x:v>공개 최소가 계산</x:v>
      </x:c>
      <x:c r="I12" s="22" t="str">
        <x:v>철거 가능시간</x:v>
      </x:c>
    </x:row>
    <x:row r="13">
      <x:c r="A13" s="30" t="str">
        <x:v>2번 대관비 1차 합계</x:v>
      </x:c>
      <x:c r="B13" s="30"/>
      <x:c r="C13" s="30"/>
      <x:c r="D13" s="30"/>
      <x:c r="E13" s="30"/>
      <x:c r="F13" s="30"/>
      <x:c r="G13" s="32" t="n">
        <x:f>SUM(G9:G12)</x:f>
        <x:v>105000000</x:v>
      </x:c>
      <x:c r="H13" s="30"/>
      <x:c r="I13" s="30"/>
    </x:row>
    <x:row r="15" ht="34" customHeight="1">
      <x:c r="A15" s="38" t="str">
        <x:v>105,000,000원은 공개된 최소가격을 15일에 적용한 가예산. 실제 사용층·면적·날짜·VMD 설치 조건에 따라 증가 가능.</x:v>
      </x:c>
    </x:row>
    <x:row r="17" ht="24" customHeight="1">
      <x:c r="A17" s="26" t="str">
        <x:v>2-2. 계약 전 추가 확인</x:v>
      </x:c>
    </x:row>
    <x:row r="18">
      <x:c r="A18" s="18" t="str">
        <x:v>확인 항목</x:v>
      </x:c>
      <x:c r="B18" s="18" t="str">
        <x:v>확인 내용</x:v>
      </x:c>
      <x:c r="C18" s="18" t="str">
        <x:v>현재 처리</x:v>
      </x:c>
      <x:c r="D18" s="18" t="str">
        <x:v>예산 반영 방법</x:v>
      </x:c>
      <x:c r="E18" s="18" t="str">
        <x:v>기준 회사/가격</x:v>
      </x:c>
      <x:c r="F18" s="18" t="str">
        <x:v>출처 URL</x:v>
      </x:c>
      <x:c r="G18" s="18" t="str">
        <x:v>우선순위</x:v>
      </x:c>
      <x:c r="H18" s="18" t="str">
        <x:v>담당</x:v>
      </x:c>
      <x:c r="I18" s="18" t="str">
        <x:v>완료</x:v>
      </x:c>
    </x:row>
    <x:row r="19">
      <x:c r="A19" s="22" t="str">
        <x:v>층별 면적</x:v>
      </x:c>
      <x:c r="B19" s="22" t="str">
        <x:v>B1+1F 전용면적, 1F 고객체험면적</x:v>
      </x:c>
      <x:c r="C19" s="22" t="str">
        <x:v>미확인</x:v>
      </x:c>
      <x:c r="D19" s="22" t="str">
        <x:v>도면/견적 수령 후 반영</x:v>
      </x:c>
      <x:c r="E19" s="22" t="str">
        <x:v>연무장길33</x:v>
      </x:c>
      <x:c r="F19" s="22" t="str">
        <x:v>https://shareit.kr/venue/14484</x:v>
      </x:c>
      <x:c r="G19" s="22" t="str">
        <x:v>최우선</x:v>
      </x:c>
      <x:c r="H19" s="22" t="str"/>
      <x:c r="I19" s="22" t="str"/>
    </x:row>
    <x:row r="20">
      <x:c r="A20" s="22" t="str">
        <x:v>VAT</x:v>
      </x:c>
      <x:c r="B20" s="22" t="str">
        <x:v>대관료 VAT 포함/별도</x:v>
      </x:c>
      <x:c r="C20" s="22" t="str">
        <x:v>미확인</x:v>
      </x:c>
      <x:c r="D20" s="22" t="str">
        <x:v>계약서 기준 반영</x:v>
      </x:c>
      <x:c r="E20" s="22" t="str">
        <x:v>연무장길33</x:v>
      </x:c>
      <x:c r="F20" s="22" t="str"/>
      <x:c r="G20" s="22" t="str">
        <x:v>높음</x:v>
      </x:c>
      <x:c r="H20" s="22" t="str"/>
      <x:c r="I20" s="22" t="str"/>
    </x:row>
    <x:row r="21">
      <x:c r="A21" s="22" t="str">
        <x:v>보증금</x:v>
      </x:c>
      <x:c r="B21" s="22" t="str">
        <x:v>계약 보증금</x:v>
      </x:c>
      <x:c r="C21" s="22" t="str">
        <x:v>미확인</x:v>
      </x:c>
      <x:c r="D21" s="22" t="str">
        <x:v>반환예정자금 별도 관리</x:v>
      </x:c>
      <x:c r="E21" s="22" t="str">
        <x:v>연무장길33</x:v>
      </x:c>
      <x:c r="F21" s="22" t="str"/>
      <x:c r="G21" s="22" t="str">
        <x:v>높음</x:v>
      </x:c>
      <x:c r="H21" s="22" t="str"/>
      <x:c r="I21" s="22" t="str"/>
    </x:row>
    <x:row r="22">
      <x:c r="A22" s="22" t="str">
        <x:v>관리비/수수료</x:v>
      </x:c>
      <x:c r="B22" s="22" t="str">
        <x:v>관리비·플랫폼수수료</x:v>
      </x:c>
      <x:c r="C22" s="22" t="str">
        <x:v>미확인</x:v>
      </x:c>
      <x:c r="D22" s="22" t="str">
        <x:v>실제 계약액 추가</x:v>
      </x:c>
      <x:c r="E22" s="22" t="str">
        <x:v>연무장길33</x:v>
      </x:c>
      <x:c r="F22" s="22" t="str"/>
      <x:c r="G22" s="22" t="str">
        <x:v>높음</x:v>
      </x:c>
      <x:c r="H22" s="22" t="str"/>
      <x:c r="I22" s="22" t="str"/>
    </x:row>
    <x:row r="23">
      <x:c r="A23" s="22" t="str">
        <x:v>냉난방·전기·수도</x:v>
      </x:c>
      <x:c r="B23" s="22" t="str">
        <x:v>기본 제공/추가 사용료</x:v>
      </x:c>
      <x:c r="C23" s="22" t="str">
        <x:v>미확인</x:v>
      </x:c>
      <x:c r="D23" s="22" t="str">
        <x:v>실사용 조건 반영</x:v>
      </x:c>
      <x:c r="E23" s="22" t="str">
        <x:v>연무장길33</x:v>
      </x:c>
      <x:c r="F23" s="22" t="str"/>
      <x:c r="G23" s="22" t="str">
        <x:v>높음</x:v>
      </x:c>
      <x:c r="H23" s="22" t="str"/>
      <x:c r="I23" s="22" t="str"/>
    </x:row>
    <x:row r="24">
      <x:c r="A24" s="22" t="str">
        <x:v>청소·폐기</x:v>
      </x:c>
      <x:c r="B24" s="22" t="str">
        <x:v>공간측 처리범위</x:v>
      </x:c>
      <x:c r="C24" s="22" t="str">
        <x:v>미확인</x:v>
      </x:c>
      <x:c r="D24" s="22" t="str">
        <x:v>10번과 중복 확인</x:v>
      </x:c>
      <x:c r="E24" s="22" t="str">
        <x:v>연무장길33</x:v>
      </x:c>
      <x:c r="F24" s="22" t="str"/>
      <x:c r="G24" s="22" t="str">
        <x:v>중간</x:v>
      </x:c>
      <x:c r="H24" s="22" t="str"/>
      <x:c r="I24" s="22" t="str"/>
    </x:row>
    <x:row r="25">
      <x:c r="A25" s="22" t="str">
        <x:v>야간/초과</x:v>
      </x:c>
      <x:c r="B25" s="22" t="str">
        <x:v>설치·철거 야간/시간초과</x:v>
      </x:c>
      <x:c r="C25" s="22" t="str">
        <x:v>미확인</x:v>
      </x:c>
      <x:c r="D25" s="22" t="str">
        <x:v>실제 견적 반영</x:v>
      </x:c>
      <x:c r="E25" s="22" t="str">
        <x:v>연무장길33</x:v>
      </x:c>
      <x:c r="F25" s="22" t="str"/>
      <x:c r="G25" s="22" t="str">
        <x:v>높음</x:v>
      </x:c>
      <x:c r="H25" s="22" t="str"/>
      <x:c r="I25" s="22" t="str"/>
    </x:row>
  </x:sheetData>
  <x:mergeCells>
    <x:mergeCell ref="A1:I1"/>
    <x:mergeCell ref="A3:I3"/>
    <x:mergeCell ref="A5:I5"/>
    <x:mergeCell ref="A13:F13"/>
    <x:mergeCell ref="A15:I15"/>
    <x:mergeCell ref="A17:I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44" hidden="0" customWidth="1"/>
    <x:col min="9" max="9" width="18" hidden="0" customWidth="1"/>
    <x:col min="10" max="10" width="42" hidden="0" customWidth="1"/>
  </x:cols>
  <x:sheetData>
    <x:row r="1" ht="30" customHeight="1">
      <x:c r="A1" s="4" t="str">
        <x:v>3. 기획·공간 디자인비</x:v>
      </x:c>
    </x:row>
    <x:row r="3" ht="34" customHeight="1">
      <x:c r="A3" s="10" t="str">
        <x:v>공개가격으로 확인되는 3D 패키지만 숫자로 반영하고, PM·실시설계·감리는 가격 비공개이므로 별도 견적으로 둔다.</x:v>
      </x:c>
    </x:row>
    <x:row r="5" ht="24" customHeight="1">
      <x:c r="A5" s="26" t="str">
        <x:v>3-1 ~ 3-5. 세부 업무 및 금액</x:v>
      </x:c>
    </x:row>
    <x:row r="6">
      <x:c r="A6" s="18" t="str">
        <x:v>구분</x:v>
      </x:c>
      <x:c r="B6" s="18" t="str">
        <x:v>세부 업무</x:v>
      </x:c>
      <x:c r="C6" s="18" t="str">
        <x:v>기준 회사/상품</x:v>
      </x:c>
      <x:c r="D6" s="18" t="str">
        <x:v>공개가격 기준</x:v>
      </x:c>
      <x:c r="E6" s="18" t="str">
        <x:v>수량</x:v>
      </x:c>
      <x:c r="F6" s="18" t="str">
        <x:v>계산식</x:v>
      </x:c>
      <x:c r="G6" s="18" t="str">
        <x:v>반영액</x:v>
      </x:c>
      <x:c r="H6" s="18" t="str">
        <x:v>상태</x:v>
      </x:c>
      <x:c r="I6" s="18" t="str">
        <x:v>추가 확인</x:v>
      </x:c>
      <x:c r="J6" s="18" t="str">
        <x:v>출처 URL</x:v>
      </x:c>
    </x:row>
    <x:row r="7">
      <x:c r="A7" s="22" t="str">
        <x:v>3-1 전체 프로젝트 PM</x:v>
      </x:c>
      <x:c r="B7" s="22" t="str">
        <x:v>일정·예산·업체·수정·현장관리</x:v>
      </x:c>
      <x:c r="C7" s="22" t="str">
        <x:v>OFNR 2026 체크리스트</x:v>
      </x:c>
      <x:c r="D7" s="22" t="str">
        <x:v>정액 공개가격 없음</x:v>
      </x:c>
      <x:c r="E7" s="22" t="n">
        <x:v>1</x:v>
      </x:c>
      <x:c r="F7" s="22" t="str">
        <x:v>-</x:v>
      </x:c>
      <x:c r="G7" s="28" t="n">
        <x:v>0</x:v>
      </x:c>
      <x:c r="H7" s="22" t="str">
        <x:v>별도 견적</x:v>
      </x:c>
      <x:c r="I7" s="22" t="str">
        <x:v>범위/회의/현장상주</x:v>
      </x:c>
      <x:c r="J7" s="22" t="str">
        <x:v>https://ofnr.co.kr/blog/popup-store-estimate-budget-checklist-20260615</x:v>
      </x:c>
    </x:row>
    <x:row r="8">
      <x:c r="A8" s="22" t="str">
        <x:v>3-2 공간 기획</x:v>
      </x:c>
      <x:c r="B8" s="22" t="str">
        <x:v>동선·구역기능·운영흐름</x:v>
      </x:c>
      <x:c r="C8" s="22" t="str">
        <x:v>KOHOBLUU Premium</x:v>
      </x:c>
      <x:c r="D8" s="22" t="str">
        <x:v>concept reference+layout 포함</x:v>
      </x:c>
      <x:c r="E8" s="22" t="n">
        <x:v>1</x:v>
      </x:c>
      <x:c r="F8" s="22" t="str">
        <x:v>3D 패키지 포함</x:v>
      </x:c>
      <x:c r="G8" s="28" t="n">
        <x:v>0</x:v>
      </x:c>
      <x:c r="H8" s="22" t="str">
        <x:v>3D 비용에 포함</x:v>
      </x:c>
      <x:c r="I8" s="22" t="str">
        <x:v>중복 반영 금지</x:v>
      </x:c>
      <x:c r="J8" s="22" t="str">
        <x:v>https://kmong.com/gig/750013</x:v>
      </x:c>
    </x:row>
    <x:row r="9">
      <x:c r="A9" s="22" t="str">
        <x:v>3-3 3D 공간 디자인</x:v>
      </x:c>
      <x:c r="B9" s="22" t="str">
        <x:v>58평+ 공간 시안 5뷰</x:v>
      </x:c>
      <x:c r="C9" s="22" t="str">
        <x:v>KOHOBLUU Premium &gt;30평</x:v>
      </x:c>
      <x:c r="D9" s="22" t="str">
        <x:v>2,500,000원</x:v>
      </x:c>
      <x:c r="E9" s="22" t="n">
        <x:v>1</x:v>
      </x:c>
      <x:c r="F9" s="22" t="str">
        <x:v>2,500,000</x:v>
      </x:c>
      <x:c r="G9" s="28" t="n">
        <x:v>2500000</x:v>
      </x:c>
      <x:c r="H9" s="22" t="str">
        <x:v>공개가격</x:v>
      </x:c>
      <x:c r="I9" s="22" t="str">
        <x:v>원본/제작도면 별도</x:v>
      </x:c>
      <x:c r="J9" s="22" t="str">
        <x:v>https://kmong.com/gig/750013</x:v>
      </x:c>
    </x:row>
    <x:row r="10">
      <x:c r="A10" s="22" t="str">
        <x:v>3-3 플랫폼 수수료</x:v>
      </x:c>
      <x:c r="B10" s="22" t="str">
        <x:v>크몽 결제수수료</x:v>
      </x:c>
      <x:c r="C10" s="22" t="str">
        <x:v>크몽</x:v>
      </x:c>
      <x:c r="D10" s="22" t="str">
        <x:v>4.5%</x:v>
      </x:c>
      <x:c r="E10" s="22" t="n">
        <x:v>1</x:v>
      </x:c>
      <x:c r="F10" s="22" t="str">
        <x:v>2,500,000×4.5%</x:v>
      </x:c>
      <x:c r="G10" s="28" t="n">
        <x:v>112500</x:v>
      </x:c>
      <x:c r="H10" s="22" t="str">
        <x:v>공개가격 계산</x:v>
      </x:c>
      <x:c r="I10" s="22" t="str">
        <x:v>결제조건 확인</x:v>
      </x:c>
      <x:c r="J10" s="22" t="str">
        <x:v>https://kmong.com/gig/750013</x:v>
      </x:c>
    </x:row>
    <x:row r="11">
      <x:c r="A11" s="22" t="str">
        <x:v>3-4 실시설계</x:v>
      </x:c>
      <x:c r="B11" s="22" t="str">
        <x:v>평면·집기상세·전기·조명·사인 도면</x:v>
      </x:c>
      <x:c r="C11" s="22" t="str">
        <x:v>KOHOBLUU/OFNR</x:v>
      </x:c>
      <x:c r="D11" s="22" t="str">
        <x:v>제작도면 별도상담</x:v>
      </x:c>
      <x:c r="E11" s="22" t="n">
        <x:v>1</x:v>
      </x:c>
      <x:c r="F11" s="22" t="str">
        <x:v>-</x:v>
      </x:c>
      <x:c r="G11" s="28" t="n">
        <x:v>0</x:v>
      </x:c>
      <x:c r="H11" s="22" t="str">
        <x:v>별도 견적</x:v>
      </x:c>
      <x:c r="I11" s="22" t="str">
        <x:v>시공사 도면 포함여부</x:v>
      </x:c>
      <x:c r="J11" s="22" t="str">
        <x:v>https://kmong.com/gig/750013</x:v>
      </x:c>
    </x:row>
    <x:row r="12">
      <x:c r="A12" s="22" t="str">
        <x:v>3-5 제작·시공 감리</x:v>
      </x:c>
      <x:c r="B12" s="22" t="str">
        <x:v>제작물 확인·현장수정·완공검수</x:v>
      </x:c>
      <x:c r="C12" s="22" t="str">
        <x:v>OFNR</x:v>
      </x:c>
      <x:c r="D12" s="22" t="str">
        <x:v>정액 공개가격 없음</x:v>
      </x:c>
      <x:c r="E12" s="22" t="n">
        <x:v>1</x:v>
      </x:c>
      <x:c r="F12" s="22" t="str">
        <x:v>-</x:v>
      </x:c>
      <x:c r="G12" s="28" t="n">
        <x:v>0</x:v>
      </x:c>
      <x:c r="H12" s="22" t="str">
        <x:v>별도 견적</x:v>
      </x:c>
      <x:c r="I12" s="22" t="str">
        <x:v>감리 횟수/상주시간</x:v>
      </x:c>
      <x:c r="J12" s="22" t="str">
        <x:v>https://ofnr.co.kr/blog/popup-store-estimate-budget-checklist-20260615</x:v>
      </x:c>
    </x:row>
    <x:row r="13">
      <x:c r="A13" s="30" t="str">
        <x:v>3번 현재 공개가격으로 계산 가능한 금액</x:v>
      </x:c>
      <x:c r="B13" s="30"/>
      <x:c r="C13" s="30"/>
      <x:c r="D13" s="30"/>
      <x:c r="E13" s="30"/>
      <x:c r="F13" s="30"/>
      <x:c r="G13" s="32" t="n">
        <x:f>SUM(G7:G12)</x:f>
        <x:v>2612500</x:v>
      </x:c>
      <x:c r="H13" s="30"/>
      <x:c r="I13" s="30"/>
      <x:c r="J13" s="30"/>
    </x:row>
    <x:row r="15" ht="24" customHeight="1">
      <x:c r="A15" s="26" t="str">
        <x:v>3-6. 공개가격 비교</x:v>
      </x:c>
    </x:row>
    <x:row r="16">
      <x:c r="A16" s="18" t="str">
        <x:v>업체</x:v>
      </x:c>
      <x:c r="B16" s="18" t="str">
        <x:v>상품</x:v>
      </x:c>
      <x:c r="C16" s="18" t="str">
        <x:v>적용 범위</x:v>
      </x:c>
      <x:c r="D16" s="18" t="str">
        <x:v>공개가격</x:v>
      </x:c>
      <x:c r="E16" s="18" t="str">
        <x:v>수수료</x:v>
      </x:c>
      <x:c r="F16" s="18" t="str">
        <x:v>수정</x:v>
      </x:c>
      <x:c r="G16" s="18" t="str">
        <x:v>납기</x:v>
      </x:c>
      <x:c r="H16" s="18" t="str">
        <x:v>LUNEA 판단</x:v>
      </x:c>
      <x:c r="I16" s="18" t="str">
        <x:v>상태</x:v>
      </x:c>
      <x:c r="J16" s="18" t="str">
        <x:v>출처 URL</x:v>
      </x:c>
    </x:row>
    <x:row r="17">
      <x:c r="A17" s="22" t="str">
        <x:v>KOHOBLUU</x:v>
      </x:c>
      <x:c r="B17" s="22" t="str">
        <x:v>Premium &gt;30평</x:v>
      </x:c>
      <x:c r="C17" s="22" t="str">
        <x:v>컨셉+레이아웃+3D렌더 5뷰</x:v>
      </x:c>
      <x:c r="D17" s="22" t="str">
        <x:v>2,500,000원</x:v>
      </x:c>
      <x:c r="E17" s="22" t="str">
        <x:v>4.5%</x:v>
      </x:c>
      <x:c r="F17" s="22" t="str">
        <x:v>5회+모델링수정</x:v>
      </x:c>
      <x:c r="G17" s="22" t="str">
        <x:v>10일</x:v>
      </x:c>
      <x:c r="H17" s="22" t="str">
        <x:v>기획/레이아웃/3D를 묶을 수 있어 1차 기준</x:v>
      </x:c>
      <x:c r="I17" s="22" t="str">
        <x:v>선정 기준</x:v>
      </x:c>
      <x:c r="J17" s="22" t="str">
        <x:v>https://kmong.com/gig/750013</x:v>
      </x:c>
    </x:row>
    <x:row r="18">
      <x:c r="A18" s="22" t="str">
        <x:v>connectdot</x:v>
      </x:c>
      <x:c r="B18" s="22" t="str">
        <x:v>Premium 30평+</x:v>
      </x:c>
      <x:c r="C18" s="22" t="str">
        <x:v>모델링·렌더링 중심</x:v>
      </x:c>
      <x:c r="D18" s="22" t="str">
        <x:v>90,000원/렌더컷</x:v>
      </x:c>
      <x:c r="E18" s="22" t="str">
        <x:v>4.5%</x:v>
      </x:c>
      <x:c r="F18" s="22" t="str">
        <x:v>모델 2회</x:v>
      </x:c>
      <x:c r="G18" s="22" t="str">
        <x:v>5일</x:v>
      </x:c>
      <x:c r="H18" s="22" t="str">
        <x:v>저렴하나 공간기획 범위가 약함</x:v>
      </x:c>
      <x:c r="I18" s="22" t="str">
        <x:v>비교용</x:v>
      </x:c>
      <x:c r="J18" s="22" t="str">
        <x:v>https://kmong.com/gig/344725</x:v>
      </x:c>
    </x:row>
  </x:sheetData>
  <x:mergeCells>
    <x:mergeCell ref="A1:J1"/>
    <x:mergeCell ref="A3:J3"/>
    <x:mergeCell ref="A5:J5"/>
    <x:mergeCell ref="A13:F13"/>
    <x:mergeCell ref="A15:J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4" hidden="0" customWidth="1"/>
    <x:col min="4" max="4" width="38" hidden="0" customWidth="1"/>
    <x:col min="5" max="5" width="26" hidden="0" customWidth="1"/>
    <x:col min="6" max="6" width="30" hidden="0" customWidth="1"/>
    <x:col min="7" max="7" width="42" hidden="0" customWidth="1"/>
    <x:col min="8" max="8" width="14" hidden="0" customWidth="1"/>
    <x:col min="9" max="9" width="14" hidden="0" customWidth="1"/>
    <x:col min="10" max="10" width="12" hidden="0" customWidth="1"/>
  </x:cols>
  <x:sheetData>
    <x:row r="1" ht="30" customHeight="1">
      <x:c r="A1" s="4" t="str">
        <x:v>4. 공간 시공·VMD비</x:v>
      </x:c>
    </x:row>
    <x:row r="3" ht="34" customHeight="1">
      <x:c r="A3" s="38" t="str">
        <x:v>현재 116,000,000원은 이전 예산안의 58평×2,000,000원/평 가정값. 평당 단가 공개근거 재검증이 필요하므로 최종 확정가가 아니며, 동일 도면/사양으로 시공사 3개 견적을 받아 교체한다.</x:v>
      </x:c>
    </x:row>
    <x:row r="5" ht="24" customHeight="1">
      <x:c r="A5" s="26" t="str">
        <x:v>4-1. 시공 범위</x:v>
      </x:c>
    </x:row>
    <x:row r="6">
      <x:c r="A6" s="18" t="str">
        <x:v>세부 항목</x:v>
      </x:c>
      <x:c r="B6" s="18" t="str">
        <x:v>필요 작업</x:v>
      </x:c>
      <x:c r="C6" s="18" t="str">
        <x:v>LUNEA 적용</x:v>
      </x:c>
      <x:c r="D6" s="18" t="str">
        <x:v>기준 업체/방식</x:v>
      </x:c>
      <x:c r="E6" s="18" t="str">
        <x:v>가격 기준</x:v>
      </x:c>
      <x:c r="F6" s="18" t="str">
        <x:v>수량/면적</x:v>
      </x:c>
      <x:c r="G6" s="18" t="str">
        <x:v>계산식</x:v>
      </x:c>
      <x:c r="H6" s="18" t="str">
        <x:v>반영액</x:v>
      </x:c>
      <x:c r="I6" s="18" t="str">
        <x:v>상태</x:v>
      </x:c>
      <x:c r="J6" s="18" t="str">
        <x:v>추가 확인</x:v>
      </x:c>
    </x:row>
    <x:row r="7">
      <x:c r="A7" s="22" t="str">
        <x:v>가벽·공간 구획</x:v>
      </x:c>
      <x:c r="B7" s="22" t="str">
        <x:v>구역별 분리</x:v>
      </x:c>
      <x:c r="C7" s="22" t="str">
        <x:v>입구/진단/루틴/완성/SNS/운영실</x:v>
      </x:c>
      <x:c r="D7" s="22" t="str">
        <x:v>팝업 전문 시공사 통합</x:v>
      </x:c>
      <x:c r="E7" s="22" t="str">
        <x:v>정식견적</x:v>
      </x:c>
      <x:c r="F7" s="22" t="n">
        <x:v>58</x:v>
      </x:c>
      <x:c r="G7" s="22" t="str">
        <x:v>-</x:v>
      </x:c>
      <x:c r="H7" s="28" t="n">
        <x:v>0</x:v>
      </x:c>
      <x:c r="I7" s="22" t="str">
        <x:v>별도 견적</x:v>
      </x:c>
      <x:c r="J7" s="22" t="str">
        <x:v>재질/수량</x:v>
      </x:c>
    </x:row>
    <x:row r="8">
      <x:c r="A8" s="22" t="str">
        <x:v>벽면 도장·마감</x:v>
      </x:c>
      <x:c r="B8" s="22" t="str">
        <x:v>브랜드 컬러/벽체마감</x:v>
      </x:c>
      <x:c r="C8" s="22" t="str">
        <x:v>지하철 역 콘셉트</x:v>
      </x:c>
      <x:c r="D8" s="22" t="str">
        <x:v>동일 시공사</x:v>
      </x:c>
      <x:c r="E8" s="22" t="str">
        <x:v>정식견적</x:v>
      </x:c>
      <x:c r="F8" s="22" t="n">
        <x:v>58</x:v>
      </x:c>
      <x:c r="G8" s="22" t="str">
        <x:v>-</x:v>
      </x:c>
      <x:c r="H8" s="28" t="n">
        <x:v>0</x:v>
      </x:c>
      <x:c r="I8" s="22" t="str">
        <x:v>별도 견적</x:v>
      </x:c>
      <x:c r="J8" s="22" t="str">
        <x:v>도장/필름/패널</x:v>
      </x:c>
    </x:row>
    <x:row r="9">
      <x:c r="A9" s="22" t="str">
        <x:v>바닥 시공</x:v>
      </x:c>
      <x:c r="B9" s="22" t="str">
        <x:v>바닥 마감/동선 그래픽</x:v>
      </x:c>
      <x:c r="C9" s="22" t="str">
        <x:v>노선·동선 표현</x:v>
      </x:c>
      <x:c r="D9" s="22" t="str">
        <x:v>동일 시공사</x:v>
      </x:c>
      <x:c r="E9" s="22" t="str">
        <x:v>정식견적</x:v>
      </x:c>
      <x:c r="F9" s="22" t="n">
        <x:v>58</x:v>
      </x:c>
      <x:c r="G9" s="22" t="str">
        <x:v>-</x:v>
      </x:c>
      <x:c r="H9" s="28" t="n">
        <x:v>0</x:v>
      </x:c>
      <x:c r="I9" s="22" t="str">
        <x:v>별도 견적</x:v>
      </x:c>
      <x:c r="J9" s="22" t="str">
        <x:v>보양/원상복구</x:v>
      </x:c>
    </x:row>
    <x:row r="10">
      <x:c r="A10" s="22" t="str">
        <x:v>입구·파사드</x:v>
      </x:c>
      <x:c r="B10" s="22" t="str">
        <x:v>메인 파사드</x:v>
      </x:c>
      <x:c r="C10" s="22" t="str">
        <x:v>LUNEA STATION 외관</x:v>
      </x:c>
      <x:c r="D10" s="22" t="str">
        <x:v>동일 시공사</x:v>
      </x:c>
      <x:c r="E10" s="22" t="str">
        <x:v>정식견적</x:v>
      </x:c>
      <x:c r="F10" s="22" t="n">
        <x:v>1</x:v>
      </x:c>
      <x:c r="G10" s="22" t="str">
        <x:v>-</x:v>
      </x:c>
      <x:c r="H10" s="28" t="n">
        <x:v>0</x:v>
      </x:c>
      <x:c r="I10" s="22" t="str">
        <x:v>별도 견적</x:v>
      </x:c>
      <x:c r="J10" s="22" t="str">
        <x:v>OOH/VMD 범위</x:v>
      </x:c>
    </x:row>
    <x:row r="11">
      <x:c r="A11" s="22" t="str">
        <x:v>피부진단존</x:v>
      </x:c>
      <x:c r="B11" s="22" t="str">
        <x:v>4인 진단대·거치·조명·전원</x:v>
      </x:c>
      <x:c r="C11" s="22" t="str">
        <x:v>진단4석+컨트롤</x:v>
      </x:c>
      <x:c r="D11" s="22" t="str">
        <x:v>동일 시공사</x:v>
      </x:c>
      <x:c r="E11" s="22" t="str">
        <x:v>정식견적</x:v>
      </x:c>
      <x:c r="F11" s="22" t="n">
        <x:v>1</x:v>
      </x:c>
      <x:c r="G11" s="22" t="str">
        <x:v>-</x:v>
      </x:c>
      <x:c r="H11" s="28" t="n">
        <x:v>0</x:v>
      </x:c>
      <x:c r="I11" s="22" t="str">
        <x:v>별도 견적</x:v>
      </x:c>
      <x:c r="J11" s="22" t="str">
        <x:v>6번 집기 중복금지</x:v>
      </x:c>
    </x:row>
    <x:row r="12">
      <x:c r="A12" s="22" t="str">
        <x:v>루틴탐색존</x:v>
      </x:c>
      <x:c r="B12" s="22" t="str">
        <x:v>4개 station display</x:v>
      </x:c>
      <x:c r="C12" s="22" t="str">
        <x:v>스킨→로션→앰플→크림</x:v>
      </x:c>
      <x:c r="D12" s="22" t="str">
        <x:v>동일 시공사</x:v>
      </x:c>
      <x:c r="E12" s="22" t="str">
        <x:v>정식견적</x:v>
      </x:c>
      <x:c r="F12" s="22" t="n">
        <x:v>4</x:v>
      </x:c>
      <x:c r="G12" s="22" t="str">
        <x:v>-</x:v>
      </x:c>
      <x:c r="H12" s="28" t="n">
        <x:v>0</x:v>
      </x:c>
      <x:c r="I12" s="22" t="str">
        <x:v>별도 견적</x:v>
      </x:c>
      <x:c r="J12" s="22" t="str">
        <x:v>맞춤집기</x:v>
      </x:c>
    </x:row>
    <x:row r="13">
      <x:c r="A13" s="22" t="str">
        <x:v>맞춤완성존</x:v>
      </x:c>
      <x:c r="B13" s="22" t="str">
        <x:v>루틴·QR·샘플 안내</x:v>
      </x:c>
      <x:c r="C13" s="22" t="str">
        <x:v>8명 동시수용</x:v>
      </x:c>
      <x:c r="D13" s="22" t="str">
        <x:v>동일 시공사</x:v>
      </x:c>
      <x:c r="E13" s="22" t="str">
        <x:v>정식견적</x:v>
      </x:c>
      <x:c r="F13" s="22" t="n">
        <x:v>1</x:v>
      </x:c>
      <x:c r="G13" s="22" t="str">
        <x:v>-</x:v>
      </x:c>
      <x:c r="H13" s="28" t="n">
        <x:v>0</x:v>
      </x:c>
      <x:c r="I13" s="22" t="str">
        <x:v>별도 견적</x:v>
      </x:c>
      <x:c r="J13" s="22" t="str">
        <x:v>6번 이동집기 구분</x:v>
      </x:c>
    </x:row>
    <x:row r="14">
      <x:c r="A14" s="22" t="str">
        <x:v>SNS 포토존</x:v>
      </x:c>
      <x:c r="B14" s="22" t="str">
        <x:v>지하철 차량/플랫폼 구조물</x:v>
      </x:c>
      <x:c r="C14" s="22" t="str">
        <x:v>핵심 VMD</x:v>
      </x:c>
      <x:c r="D14" s="22" t="str">
        <x:v>동일 시공사</x:v>
      </x:c>
      <x:c r="E14" s="22" t="str">
        <x:v>정식견적</x:v>
      </x:c>
      <x:c r="F14" s="22" t="n">
        <x:v>1</x:v>
      </x:c>
      <x:c r="G14" s="22" t="str">
        <x:v>-</x:v>
      </x:c>
      <x:c r="H14" s="28" t="n">
        <x:v>0</x:v>
      </x:c>
      <x:c r="I14" s="22" t="str">
        <x:v>별도 견적</x:v>
      </x:c>
      <x:c r="J14" s="22" t="str">
        <x:v>포토부스 장비=6번</x:v>
      </x:c>
    </x:row>
    <x:row r="15">
      <x:c r="A15" s="22" t="str">
        <x:v>운영·창고</x:v>
      </x:c>
      <x:c r="B15" s="22" t="str">
        <x:v>재고/스태프공간</x:v>
      </x:c>
      <x:c r="C15" s="22" t="str">
        <x:v>고객동선 제외</x:v>
      </x:c>
      <x:c r="D15" s="22" t="str">
        <x:v>동일 시공사</x:v>
      </x:c>
      <x:c r="E15" s="22" t="str">
        <x:v>정식견적</x:v>
      </x:c>
      <x:c r="F15" s="22" t="n">
        <x:v>1</x:v>
      </x:c>
      <x:c r="G15" s="22" t="str">
        <x:v>-</x:v>
      </x:c>
      <x:c r="H15" s="28" t="n">
        <x:v>0</x:v>
      </x:c>
      <x:c r="I15" s="22" t="str">
        <x:v>별도 견적</x:v>
      </x:c>
      <x:c r="J15" s="22" t="str">
        <x:v>이동선반 등 구분</x:v>
      </x:c>
    </x:row>
    <x:row r="16">
      <x:c r="A16" s="22" t="str">
        <x:v>그래픽·사인</x:v>
      </x:c>
      <x:c r="B16" s="22" t="str">
        <x:v>역명판·노선도·대형사인</x:v>
      </x:c>
      <x:c r="C16" s="22" t="str">
        <x:v>고정 VMD</x:v>
      </x:c>
      <x:c r="D16" s="22" t="str">
        <x:v>동일 시공사</x:v>
      </x:c>
      <x:c r="E16" s="22" t="str">
        <x:v>정식견적</x:v>
      </x:c>
      <x:c r="F16" s="22" t="n">
        <x:v>1</x:v>
      </x:c>
      <x:c r="G16" s="22" t="str">
        <x:v>-</x:v>
      </x:c>
      <x:c r="H16" s="28" t="n">
        <x:v>0</x:v>
      </x:c>
      <x:c r="I16" s="22" t="str">
        <x:v>별도 견적</x:v>
      </x:c>
      <x:c r="J16" s="22" t="str">
        <x:v>운영포스터=7번</x:v>
      </x:c>
    </x:row>
    <x:row r="17">
      <x:c r="A17" s="22" t="str">
        <x:v>전기·조명</x:v>
      </x:c>
      <x:c r="B17" s="22" t="str">
        <x:v>콘센트·배선·조명</x:v>
      </x:c>
      <x:c r="C17" s="22" t="str">
        <x:v>장비/포토존 포함</x:v>
      </x:c>
      <x:c r="D17" s="22" t="str">
        <x:v>동일 시공사</x:v>
      </x:c>
      <x:c r="E17" s="22" t="str">
        <x:v>정식견적</x:v>
      </x:c>
      <x:c r="F17" s="22" t="n">
        <x:v>1</x:v>
      </x:c>
      <x:c r="G17" s="22" t="str">
        <x:v>-</x:v>
      </x:c>
      <x:c r="H17" s="28" t="n">
        <x:v>0</x:v>
      </x:c>
      <x:c r="I17" s="22" t="str">
        <x:v>별도 견적</x:v>
      </x:c>
      <x:c r="J17" s="22" t="str">
        <x:v>전력용량</x:v>
      </x:c>
    </x:row>
    <x:row r="18">
      <x:c r="A18" s="22" t="str">
        <x:v>제작·운송·설치</x:v>
      </x:c>
      <x:c r="B18" s="22" t="str">
        <x:v>현장 반입/설치</x:v>
      </x:c>
      <x:c r="C18" s="22" t="str">
        <x:v>설치3일</x:v>
      </x:c>
      <x:c r="D18" s="22" t="str">
        <x:v>동일 시공사</x:v>
      </x:c>
      <x:c r="E18" s="22" t="str">
        <x:v>정식견적</x:v>
      </x:c>
      <x:c r="F18" s="22" t="n">
        <x:v>1</x:v>
      </x:c>
      <x:c r="G18" s="22" t="str">
        <x:v>-</x:v>
      </x:c>
      <x:c r="H18" s="28" t="n">
        <x:v>0</x:v>
      </x:c>
      <x:c r="I18" s="22" t="str">
        <x:v>별도 견적</x:v>
      </x:c>
      <x:c r="J18" s="22" t="str">
        <x:v>야간작업</x:v>
      </x:c>
    </x:row>
    <x:row r="19">
      <x:c r="A19" s="22" t="str">
        <x:v>보양·소방·안전</x:v>
      </x:c>
      <x:c r="B19" s="22" t="str">
        <x:v>기존시설 보호/방염/피난</x:v>
      </x:c>
      <x:c r="C19" s="22" t="str">
        <x:v>행사장 기준</x:v>
      </x:c>
      <x:c r="D19" s="22" t="str">
        <x:v>시공사+대관처</x:v>
      </x:c>
      <x:c r="E19" s="22" t="str">
        <x:v>정식견적</x:v>
      </x:c>
      <x:c r="F19" s="22" t="n">
        <x:v>1</x:v>
      </x:c>
      <x:c r="G19" s="22" t="str">
        <x:v>-</x:v>
      </x:c>
      <x:c r="H19" s="28" t="n">
        <x:v>0</x:v>
      </x:c>
      <x:c r="I19" s="22" t="str">
        <x:v>별도 견적</x:v>
      </x:c>
      <x:c r="J19" s="22" t="str">
        <x:v>12번과 중복금지</x:v>
      </x:c>
    </x:row>
    <x:row r="21" ht="24" customHeight="1">
      <x:c r="A21" s="26" t="str">
        <x:v>4-2. 현재 가예산(재검증 필요)</x:v>
      </x:c>
    </x:row>
    <x:row r="22">
      <x:c r="A22" s="18" t="str">
        <x:v>항목</x:v>
      </x:c>
      <x:c r="B22" s="18" t="str">
        <x:v>기준</x:v>
      </x:c>
      <x:c r="C22" s="18" t="str">
        <x:v>면적</x:v>
      </x:c>
      <x:c r="D22" s="18" t="str">
        <x:v>계산</x:v>
      </x:c>
      <x:c r="E22" s="18" t="str">
        <x:v>가예산</x:v>
      </x:c>
      <x:c r="F22" s="18" t="str">
        <x:v>상태</x:v>
      </x:c>
      <x:c r="G22" s="18" t="str">
        <x:v>근거 상태</x:v>
      </x:c>
      <x:c r="H22" s="18" t="str">
        <x:v>실제 발주 방식</x:v>
      </x:c>
      <x:c r="I22" s="18" t="str">
        <x:v>최종 대체값</x:v>
      </x:c>
      <x:c r="J22" s="18" t="str">
        <x:v>비고</x:v>
      </x:c>
    </x:row>
    <x:row r="23">
      <x:c r="A23" s="22" t="str">
        <x:v>공간 시공·VMD 전체</x:v>
      </x:c>
      <x:c r="B23" s="22" t="str">
        <x:v>이전 예산안 평당 2,000,000원 가정</x:v>
      </x:c>
      <x:c r="C23" s="22" t="n">
        <x:v>58</x:v>
      </x:c>
      <x:c r="D23" s="22" t="str">
        <x:v>2,000,000×58</x:v>
      </x:c>
      <x:c r="E23" s="28" t="n">
        <x:v>116000000</x:v>
      </x:c>
      <x:c r="F23" s="22" t="str">
        <x:v>예상범위 가정</x:v>
      </x:c>
      <x:c r="G23" s="22" t="str">
        <x:v>공개가격 근거 재검증 필요</x:v>
      </x:c>
      <x:c r="H23" s="22" t="str">
        <x:v>동일 도면/사양 3개 시공사 비교</x:v>
      </x:c>
      <x:c r="I23" s="22" t="str">
        <x:v>정식견적 수령 후 교체</x:v>
      </x:c>
      <x:c r="J23" s="22" t="str">
        <x:v>확정값 사용 금지</x:v>
      </x:c>
    </x:row>
    <x:row r="25">
      <x:c r="A25" s="40" t="str">
        <x:v>4번 현재 가예산</x:v>
      </x:c>
      <x:c r="B25" s="40"/>
      <x:c r="C25" s="40"/>
      <x:c r="D25" s="40"/>
      <x:c r="E25" s="42" t="n">
        <x:f>E23</x:f>
        <x:v>116000000</x:v>
      </x:c>
      <x:c r="F25" s="40"/>
      <x:c r="G25" s="40"/>
      <x:c r="H25" s="40"/>
      <x:c r="I25" s="40"/>
      <x:c r="J25" s="40"/>
    </x:row>
    <x:row r="27" ht="24" customHeight="1">
      <x:c r="A27" s="26" t="str">
        <x:v>4-3. 발주 원칙</x:v>
      </x:c>
    </x:row>
    <x:row r="28">
      <x:c r="A28" s="18" t="str">
        <x:v>원칙</x:v>
      </x:c>
      <x:c r="B28" s="18" t="str">
        <x:v>내용</x:v>
      </x:c>
      <x:c r="C28" s="18" t="str">
        <x:v>이유</x:v>
      </x:c>
      <x:c r="D28" s="18" t="str">
        <x:v>견적서 확인</x:v>
      </x:c>
      <x:c r="E28" s="18" t="str">
        <x:v>철거 연계</x:v>
      </x:c>
      <x:c r="F28" s="18" t="str">
        <x:v>기준회사/자료</x:v>
      </x:c>
      <x:c r="G28" s="18" t="str">
        <x:v>URL</x:v>
      </x:c>
      <x:c r="H28" s="18" t="str">
        <x:v>우선순위</x:v>
      </x:c>
      <x:c r="I28" s="18" t="str">
        <x:v>담당</x:v>
      </x:c>
      <x:c r="J28" s="18" t="str">
        <x:v>완료</x:v>
      </x:c>
    </x:row>
    <x:row r="29">
      <x:c r="A29" s="22" t="str">
        <x:v>통합발주</x:v>
      </x:c>
      <x:c r="B29" s="22" t="str">
        <x:v>가벽·바닥·전기·맞춤집기·그래픽설치·운송·현장설치까지 1개 전문 시공사 우선</x:v>
      </x:c>
      <x:c r="C29" s="22" t="str">
        <x:v>공정 간 책임소재/중복비용 방지</x:v>
      </x:c>
      <x:c r="D29" s="22" t="str">
        <x:v>공정 포함/제외, 재료, 운송, 설치, 야간</x:v>
      </x:c>
      <x:c r="E29" s="22" t="str">
        <x:v>5번 철거도 통합요청</x:v>
      </x:c>
      <x:c r="F29" s="22" t="str">
        <x:v>RESPACE 통합 수행 사례(참고)</x:v>
      </x:c>
      <x:c r="G29" s="22" t="str">
        <x:v>https://respace.co.kr/project/pop-up-082</x:v>
      </x:c>
      <x:c r="H29" s="22" t="str">
        <x:v>높음</x:v>
      </x:c>
      <x:c r="I29" s="22" t="str"/>
      <x:c r="J29" s="22" t="str"/>
    </x:row>
    <x:row r="30">
      <x:c r="A30" s="22" t="str">
        <x:v>3개사 비교</x:v>
      </x:c>
      <x:c r="B30" s="22" t="str">
        <x:v>동일 도면·사양으로 최소 3개 견적</x:v>
      </x:c>
      <x:c r="C30" s="22" t="str">
        <x:v>총액보다 포함범위 공정비교</x:v>
      </x:c>
      <x:c r="D30" s="22" t="str">
        <x:v>VAT, 수정, 하자, 납기, 야간, 폐기</x:v>
      </x:c>
      <x:c r="E30" s="22" t="str">
        <x:v>동일 조건</x:v>
      </x:c>
      <x:c r="F30" s="22" t="str">
        <x:v>실행 원칙</x:v>
      </x:c>
      <x:c r="G30" s="22" t="str"/>
      <x:c r="H30" s="22" t="str">
        <x:v>높음</x:v>
      </x:c>
      <x:c r="I30" s="22" t="str"/>
      <x:c r="J30" s="22" t="str"/>
    </x:row>
  </x:sheetData>
  <x:mergeCells>
    <x:mergeCell ref="A1:J1"/>
    <x:mergeCell ref="A3:J3"/>
    <x:mergeCell ref="A5:J5"/>
    <x:mergeCell ref="A21:J21"/>
    <x:mergeCell ref="A25:D25"/>
    <x:mergeCell ref="A27:J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18" hidden="0" customWidth="1"/>
    <x:col min="5" max="5" width="20" hidden="0" customWidth="1"/>
    <x:col min="6" max="6" width="30" hidden="0" customWidth="1"/>
    <x:col min="7" max="7" width="34" hidden="0" customWidth="1"/>
    <x:col min="8" max="8" width="44" hidden="0" customWidth="1"/>
    <x:col min="9" max="9" width="28" hidden="0" customWidth="1"/>
    <x:col min="10" max="10" width="42" hidden="0" customWidth="1"/>
  </x:cols>
  <x:sheetData>
    <x:row r="1" ht="30" customHeight="1">
      <x:c r="A1" s="4" t="str">
        <x:v>5. 철거·폐기·원상복구비</x:v>
      </x:c>
    </x:row>
    <x:row r="3" ht="34" customHeight="1">
      <x:c r="A3" s="38" t="str">
        <x:v>4번 시공업체와 같은 업체에 '제작+시공+설치+철거+폐기+원상복구' 통합 견적을 요청. 현재 11,600,000원은 이전 가정(시공가의 10%)으로 공개근거 재검증 필요.</x:v>
      </x:c>
    </x:row>
    <x:row r="5" ht="24" customHeight="1">
      <x:c r="A5" s="26" t="str">
        <x:v>5-1. 철거 범위</x:v>
      </x:c>
    </x:row>
    <x:row r="6">
      <x:c r="A6" s="18" t="str">
        <x:v>세부 항목</x:v>
      </x:c>
      <x:c r="B6" s="18" t="str">
        <x:v>작업 내용</x:v>
      </x:c>
      <x:c r="C6" s="18" t="str">
        <x:v>기준 업체/방식</x:v>
      </x:c>
      <x:c r="D6" s="18" t="str">
        <x:v>가격 기준</x:v>
      </x:c>
      <x:c r="E6" s="18" t="str">
        <x:v>수량</x:v>
      </x:c>
      <x:c r="F6" s="18" t="str">
        <x:v>계산</x:v>
      </x:c>
      <x:c r="G6" s="18" t="str">
        <x:v>반영액</x:v>
      </x:c>
      <x:c r="H6" s="18" t="str">
        <x:v>상태</x:v>
      </x:c>
      <x:c r="I6" s="18" t="str">
        <x:v>중복 방지</x:v>
      </x:c>
      <x:c r="J6" s="18" t="str">
        <x:v>추가 확인</x:v>
      </x:c>
    </x:row>
    <x:row r="7">
      <x:c r="A7" s="22" t="str">
        <x:v>구조물 철거</x:v>
      </x:c>
      <x:c r="B7" s="22" t="str">
        <x:v>가벽·포토존·맞춤구조물</x:v>
      </x:c>
      <x:c r="C7" s="22" t="str">
        <x:v>4번 선정 시공사</x:v>
      </x:c>
      <x:c r="D7" s="22" t="str">
        <x:v>통합 정식견적</x:v>
      </x:c>
      <x:c r="E7" s="22" t="n">
        <x:v>1</x:v>
      </x:c>
      <x:c r="F7" s="22" t="str">
        <x:v>-</x:v>
      </x:c>
      <x:c r="G7" s="28" t="n">
        <x:v>0</x:v>
      </x:c>
      <x:c r="H7" s="22" t="str">
        <x:v>별도 견적</x:v>
      </x:c>
      <x:c r="I7" s="22" t="str">
        <x:v>4번 포함여부</x:v>
      </x:c>
      <x:c r="J7" s="22" t="str">
        <x:v>야간철거</x:v>
      </x:c>
    </x:row>
    <x:row r="8">
      <x:c r="A8" s="22" t="str">
        <x:v>그래픽 제거</x:v>
      </x:c>
      <x:c r="B8" s="22" t="str">
        <x:v>사인·시트·그래픽</x:v>
      </x:c>
      <x:c r="C8" s="22" t="str">
        <x:v>동일 시공사</x:v>
      </x:c>
      <x:c r="D8" s="22" t="str">
        <x:v>통합 정식견적</x:v>
      </x:c>
      <x:c r="E8" s="22" t="n">
        <x:v>1</x:v>
      </x:c>
      <x:c r="F8" s="22" t="str">
        <x:v>-</x:v>
      </x:c>
      <x:c r="G8" s="28" t="n">
        <x:v>0</x:v>
      </x:c>
      <x:c r="H8" s="22" t="str">
        <x:v>별도 견적</x:v>
      </x:c>
      <x:c r="I8" s="22" t="str">
        <x:v>4번 포함여부</x:v>
      </x:c>
      <x:c r="J8" s="22" t="str">
        <x:v>접착잔여물</x:v>
      </x:c>
    </x:row>
    <x:row r="9">
      <x:c r="A9" s="22" t="str">
        <x:v>전기·조명 철거</x:v>
      </x:c>
      <x:c r="B9" s="22" t="str">
        <x:v>임시배선·조명</x:v>
      </x:c>
      <x:c r="C9" s="22" t="str">
        <x:v>동일 시공사</x:v>
      </x:c>
      <x:c r="D9" s="22" t="str">
        <x:v>통합 정식견적</x:v>
      </x:c>
      <x:c r="E9" s="22" t="n">
        <x:v>1</x:v>
      </x:c>
      <x:c r="F9" s="22" t="str">
        <x:v>-</x:v>
      </x:c>
      <x:c r="G9" s="28" t="n">
        <x:v>0</x:v>
      </x:c>
      <x:c r="H9" s="22" t="str">
        <x:v>별도 견적</x:v>
      </x:c>
      <x:c r="I9" s="22" t="str">
        <x:v>4번 포함여부</x:v>
      </x:c>
      <x:c r="J9" s="22" t="str">
        <x:v>대관처 승인</x:v>
      </x:c>
    </x:row>
    <x:row r="10">
      <x:c r="A10" s="22" t="str">
        <x:v>집기 반출</x:v>
      </x:c>
      <x:c r="B10" s="22" t="str">
        <x:v>맞춤·렌탈집기 회수</x:v>
      </x:c>
      <x:c r="C10" s="22" t="str">
        <x:v>시공사/렌탈사</x:v>
      </x:c>
      <x:c r="D10" s="22" t="str">
        <x:v>정식견적</x:v>
      </x:c>
      <x:c r="E10" s="22" t="n">
        <x:v>1</x:v>
      </x:c>
      <x:c r="F10" s="22" t="str">
        <x:v>-</x:v>
      </x:c>
      <x:c r="G10" s="28" t="n">
        <x:v>0</x:v>
      </x:c>
      <x:c r="H10" s="22" t="str">
        <x:v>별도 견적</x:v>
      </x:c>
      <x:c r="I10" s="22" t="str">
        <x:v>6번 렌탈 회수 구분</x:v>
      </x:c>
      <x:c r="J10" s="22" t="str">
        <x:v>회수시간</x:v>
      </x:c>
    </x:row>
    <x:row r="11">
      <x:c r="A11" s="22" t="str">
        <x:v>폐기물 처리</x:v>
      </x:c>
      <x:c r="B11" s="22" t="str">
        <x:v>목공·그래픽·포장 폐기</x:v>
      </x:c>
      <x:c r="C11" s="22" t="str">
        <x:v>동일 시공사</x:v>
      </x:c>
      <x:c r="D11" s="22" t="str">
        <x:v>통합 정식견적</x:v>
      </x:c>
      <x:c r="E11" s="22" t="n">
        <x:v>1</x:v>
      </x:c>
      <x:c r="F11" s="22" t="str">
        <x:v>-</x:v>
      </x:c>
      <x:c r="G11" s="28" t="n">
        <x:v>0</x:v>
      </x:c>
      <x:c r="H11" s="22" t="str">
        <x:v>별도 견적</x:v>
      </x:c>
      <x:c r="I11" s="22" t="str">
        <x:v>10번 일상쓰레기 구분</x:v>
      </x:c>
      <x:c r="J11" s="22" t="str">
        <x:v>폐기량</x:v>
      </x:c>
    </x:row>
    <x:row r="12">
      <x:c r="A12" s="22" t="str">
        <x:v>벽·바닥 원상복구</x:v>
      </x:c>
      <x:c r="B12" s="22" t="str">
        <x:v>도장·보수·접착 제거</x:v>
      </x:c>
      <x:c r="C12" s="22" t="str">
        <x:v>동일 시공사</x:v>
      </x:c>
      <x:c r="D12" s="22" t="str">
        <x:v>통합 정식견적</x:v>
      </x:c>
      <x:c r="E12" s="22" t="n">
        <x:v>1</x:v>
      </x:c>
      <x:c r="F12" s="22" t="str">
        <x:v>-</x:v>
      </x:c>
      <x:c r="G12" s="28" t="n">
        <x:v>0</x:v>
      </x:c>
      <x:c r="H12" s="22" t="str">
        <x:v>별도 견적</x:v>
      </x:c>
      <x:c r="I12" s="22" t="str">
        <x:v>대관처 기준</x:v>
      </x:c>
      <x:c r="J12" s="22" t="str">
        <x:v>검수기준</x:v>
      </x:c>
    </x:row>
    <x:row r="13">
      <x:c r="A13" s="22" t="str">
        <x:v>최종 청소·검수</x:v>
      </x:c>
      <x:c r="B13" s="22" t="str">
        <x:v>철거 후 청소/인수인계</x:v>
      </x:c>
      <x:c r="C13" s="22" t="str">
        <x:v>동일 시공사</x:v>
      </x:c>
      <x:c r="D13" s="22" t="str">
        <x:v>통합 정식견적</x:v>
      </x:c>
      <x:c r="E13" s="22" t="n">
        <x:v>1</x:v>
      </x:c>
      <x:c r="F13" s="22" t="str">
        <x:v>-</x:v>
      </x:c>
      <x:c r="G13" s="28" t="n">
        <x:v>0</x:v>
      </x:c>
      <x:c r="H13" s="22" t="str">
        <x:v>별도 견적</x:v>
      </x:c>
      <x:c r="I13" s="22" t="str">
        <x:v>10번 일일청소 구분</x:v>
      </x:c>
      <x:c r="J13" s="22" t="str">
        <x:v>검수담당</x:v>
      </x:c>
    </x:row>
    <x:row r="15" ht="24" customHeight="1">
      <x:c r="A15" s="26" t="str">
        <x:v>5-2. 현재 가예산(재검증 필요)</x:v>
      </x:c>
    </x:row>
    <x:row r="16">
      <x:c r="A16" s="18" t="str">
        <x:v>항목</x:v>
      </x:c>
      <x:c r="B16" s="18" t="str">
        <x:v>기준</x:v>
      </x:c>
      <x:c r="C16" s="18" t="str">
        <x:v>계산</x:v>
      </x:c>
      <x:c r="D16" s="18" t="str">
        <x:v>가예산</x:v>
      </x:c>
      <x:c r="E16" s="18" t="str">
        <x:v>상태</x:v>
      </x:c>
      <x:c r="F16" s="18" t="str">
        <x:v>근거 상태</x:v>
      </x:c>
      <x:c r="G16" s="18" t="str">
        <x:v>최종 처리</x:v>
      </x:c>
      <x:c r="H16" s="18" t="str">
        <x:v>발주 방식</x:v>
      </x:c>
      <x:c r="I16" s="18" t="str">
        <x:v>비고</x:v>
      </x:c>
      <x:c r="J16" s="18" t="str">
        <x:v>URL</x:v>
      </x:c>
    </x:row>
    <x:row r="17">
      <x:c r="A17" s="22" t="str">
        <x:v>철거·폐기·원상복구</x:v>
      </x:c>
      <x:c r="B17" s="22" t="str">
        <x:v>이전 예산안 시공가 116,000,000원의 10% 가정</x:v>
      </x:c>
      <x:c r="C17" s="22" t="str">
        <x:v>116,000,000×10%</x:v>
      </x:c>
      <x:c r="D17" s="28" t="n">
        <x:v>11600000</x:v>
      </x:c>
      <x:c r="E17" s="22" t="str">
        <x:v>예상범위 가정</x:v>
      </x:c>
      <x:c r="F17" s="22" t="str">
        <x:v>공개비율 근거 재검증 필요</x:v>
      </x:c>
      <x:c r="G17" s="22" t="str">
        <x:v>4번 시공사 통합 정식견적으로 교체</x:v>
      </x:c>
      <x:c r="H17" s="22" t="str">
        <x:v>제작+시공+설치+철거+폐기+원상복구</x:v>
      </x:c>
      <x:c r="I17" s="22" t="str">
        <x:v>확정값 사용 금지</x:v>
      </x:c>
      <x:c r="J17" s="22" t="str">
        <x:v>https://respace.co.kr/project/pop-up-082</x:v>
      </x:c>
    </x:row>
    <x:row r="19">
      <x:c r="A19" s="40" t="str">
        <x:v>5번 현재 가예산</x:v>
      </x:c>
      <x:c r="B19" s="40"/>
      <x:c r="C19" s="40"/>
      <x:c r="D19" s="42" t="n">
        <x:f>D17</x:f>
        <x:v>11600000</x:v>
      </x:c>
      <x:c r="E19" s="40"/>
      <x:c r="F19" s="40"/>
      <x:c r="G19" s="40"/>
      <x:c r="H19" s="40"/>
      <x:c r="I19" s="40"/>
      <x:c r="J19" s="40"/>
    </x:row>
  </x:sheetData>
  <x:mergeCells>
    <x:mergeCell ref="A1:J1"/>
    <x:mergeCell ref="A3:J3"/>
    <x:mergeCell ref="A5:J5"/>
    <x:mergeCell ref="A15:J15"/>
    <x:mergeCell ref="A19:C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36" hidden="0" customWidth="1"/>
    <x:col min="5" max="5" width="30" hidden="0" customWidth="1"/>
    <x:col min="6" max="6" width="22" hidden="0" customWidth="1"/>
    <x:col min="7" max="7" width="16" hidden="0" customWidth="1"/>
    <x:col min="8" max="8" width="32" hidden="0" customWidth="1"/>
    <x:col min="9" max="9" width="20" hidden="0" customWidth="1"/>
    <x:col min="10" max="10" width="14" hidden="0" customWidth="1"/>
    <x:col min="11" max="11" width="12" hidden="0" customWidth="1"/>
  </x:cols>
  <x:sheetData>
    <x:row r="1" ht="30" customHeight="1">
      <x:c r="A1" s="4" t="str">
        <x:v>6. 집기·피부진단·웨이팅·디지털 장비비</x:v>
      </x:c>
    </x:row>
    <x:row r="3" ht="34" customHeight="1">
      <x:c r="A3" s="10" t="str">
        <x:v>4번 시공비에 들어가는 맞춤 고정집기와 중복하지 않고, 6번에는 이동형 운영 집기와 실제 장비·시스템 비용만 반영한다.</x:v>
      </x:c>
    </x:row>
    <x:row r="5" ht="24" customHeight="1">
      <x:c r="A5" s="26" t="str">
        <x:v>6-1. 이동형 집기</x:v>
      </x:c>
    </x:row>
    <x:row r="6">
      <x:c r="A6" s="18" t="str">
        <x:v>품목</x:v>
      </x:c>
      <x:c r="B6" s="18" t="str">
        <x:v>기준 회사/상품</x:v>
      </x:c>
      <x:c r="C6" s="18" t="str">
        <x:v>공개가격</x:v>
      </x:c>
      <x:c r="D6" s="18" t="str">
        <x:v>수량</x:v>
      </x:c>
      <x:c r="E6" s="18" t="str">
        <x:v>기간</x:v>
      </x:c>
      <x:c r="F6" s="18" t="str">
        <x:v>계산식</x:v>
      </x:c>
      <x:c r="G6" s="18" t="str">
        <x:v>반영액</x:v>
      </x:c>
      <x:c r="H6" s="18" t="str">
        <x:v>상태</x:v>
      </x:c>
      <x:c r="I6" s="18" t="str">
        <x:v>포함/별도</x:v>
      </x:c>
      <x:c r="J6" s="18" t="str">
        <x:v>주의</x:v>
      </x:c>
      <x:c r="K6" s="18" t="str">
        <x:v>출처 URL</x:v>
      </x:c>
    </x:row>
    <x:row r="7">
      <x:c r="A7" s="22" t="str">
        <x:v>듀라 테이블 1200</x:v>
      </x:c>
      <x:c r="B7" s="22" t="str">
        <x:v>한칸/RentalStory</x:v>
      </x:c>
      <x:c r="C7" s="22" t="str">
        <x:v>11,000원/일</x:v>
      </x:c>
      <x:c r="D7" s="22" t="n">
        <x:v>6</x:v>
      </x:c>
      <x:c r="E7" s="22" t="n">
        <x:v>11</x:v>
      </x:c>
      <x:c r="F7" s="22" t="str">
        <x:v>6×11×11,000</x:v>
      </x:c>
      <x:c r="G7" s="28" t="n">
        <x:v>726000</x:v>
      </x:c>
      <x:c r="H7" s="22" t="str">
        <x:v>공개가격 계산</x:v>
      </x:c>
      <x:c r="I7" s="22" t="str">
        <x:v>렌탈</x:v>
      </x:c>
      <x:c r="J7" s="22" t="str">
        <x:v>설치·회수일 렌탈일수 확인</x:v>
      </x:c>
      <x:c r="K7" s="22" t="str">
        <x:v>https://hankan.kr/product/75</x:v>
      </x:c>
    </x:row>
    <x:row r="8">
      <x:c r="A8" s="22" t="str">
        <x:v>플라스틱 의자</x:v>
      </x:c>
      <x:c r="B8" s="22" t="str">
        <x:v>RentalStory</x:v>
      </x:c>
      <x:c r="C8" s="22" t="str">
        <x:v>1,650원/일</x:v>
      </x:c>
      <x:c r="D8" s="22" t="n">
        <x:v>12</x:v>
      </x:c>
      <x:c r="E8" s="22" t="n">
        <x:v>11</x:v>
      </x:c>
      <x:c r="F8" s="22" t="str">
        <x:v>12×11×1,650</x:v>
      </x:c>
      <x:c r="G8" s="28" t="n">
        <x:v>217800</x:v>
      </x:c>
      <x:c r="H8" s="22" t="str">
        <x:v>공개가격 계산</x:v>
      </x:c>
      <x:c r="I8" s="22" t="str">
        <x:v>렌탈</x:v>
      </x:c>
      <x:c r="J8" s="22" t="str">
        <x:v>동일 배송사 묶음 가능 여부</x:v>
      </x:c>
      <x:c r="K8" s="22" t="str">
        <x:v>https://hankan.kr/product/75</x:v>
      </x:c>
    </x:row>
    <x:row r="9">
      <x:c r="A9" s="22" t="str">
        <x:v>서울 배송·설치</x:v>
      </x:c>
      <x:c r="B9" s="22" t="str">
        <x:v>RentalStory</x:v>
      </x:c>
      <x:c r="C9" s="22" t="str">
        <x:v>165,000원/1회</x:v>
      </x:c>
      <x:c r="D9" s="22" t="n">
        <x:v>1</x:v>
      </x:c>
      <x:c r="E9" s="22" t="n">
        <x:v>1</x:v>
      </x:c>
      <x:c r="F9" s="22" t="str">
        <x:v>165,000</x:v>
      </x:c>
      <x:c r="G9" s="28" t="n">
        <x:v>165000</x:v>
      </x:c>
      <x:c r="H9" s="22" t="str">
        <x:v>공개가격</x:v>
      </x:c>
      <x:c r="I9" s="22" t="str">
        <x:v>묶음 서비스</x:v>
      </x:c>
      <x:c r="J9" s="22" t="str">
        <x:v>무료배송 임계금액 확인</x:v>
      </x:c>
      <x:c r="K9" s="22" t="str">
        <x:v>https://hankan.kr/faq?category=product</x:v>
      </x:c>
    </x:row>
    <x:row r="11">
      <x:c r="A11" s="30" t="str">
        <x:v>6-1 이동형 집기 소계</x:v>
      </x:c>
      <x:c r="B11" s="30"/>
      <x:c r="C11" s="30"/>
      <x:c r="D11" s="30"/>
      <x:c r="E11" s="30"/>
      <x:c r="F11" s="30"/>
      <x:c r="G11" s="32" t="n">
        <x:f>SUM(G7:G9)</x:f>
        <x:v>1108800</x:v>
      </x:c>
      <x:c r="H11" s="30"/>
      <x:c r="I11" s="30"/>
      <x:c r="J11" s="30"/>
      <x:c r="K11" s="30"/>
    </x:row>
    <x:row r="13" ht="24" customHeight="1">
      <x:c r="A13" s="26" t="str">
        <x:v>6-2. 피부진단 장비</x:v>
      </x:c>
    </x:row>
    <x:row r="14">
      <x:c r="A14" s="18" t="str">
        <x:v>품목</x:v>
      </x:c>
      <x:c r="B14" s="18" t="str">
        <x:v>기준 회사/상품</x:v>
      </x:c>
      <x:c r="C14" s="18" t="str">
        <x:v>공개가격</x:v>
      </x:c>
      <x:c r="D14" s="18" t="str">
        <x:v>수량</x:v>
      </x:c>
      <x:c r="E14" s="18" t="str">
        <x:v>기간</x:v>
      </x:c>
      <x:c r="F14" s="18" t="str">
        <x:v>계산식</x:v>
      </x:c>
      <x:c r="G14" s="18" t="str">
        <x:v>반영액</x:v>
      </x:c>
      <x:c r="H14" s="18" t="str">
        <x:v>상태</x:v>
      </x:c>
      <x:c r="I14" s="18" t="str">
        <x:v>포함/별도</x:v>
      </x:c>
      <x:c r="J14" s="18" t="str">
        <x:v>주의</x:v>
      </x:c>
      <x:c r="K14" s="18" t="str">
        <x:v>출처 URL</x:v>
      </x:c>
    </x:row>
    <x:row r="15">
      <x:c r="A15" s="22" t="str">
        <x:v>피부진단기</x:v>
      </x:c>
      <x:c r="B15" s="22" t="str">
        <x:v>Aram Huvis API-100 / 현대트레이딩</x:v>
      </x:c>
      <x:c r="C15" s="22" t="str">
        <x:v>1,290,000원/대</x:v>
      </x:c>
      <x:c r="D15" s="22" t="n">
        <x:v>4</x:v>
      </x:c>
      <x:c r="E15" s="22" t="n">
        <x:v>1</x:v>
      </x:c>
      <x:c r="F15" s="22" t="str">
        <x:v>1,290,000×4</x:v>
      </x:c>
      <x:c r="G15" s="28" t="n">
        <x:v>5160000</x:v>
      </x:c>
      <x:c r="H15" s="22" t="str">
        <x:v>공개 판매가격</x:v>
      </x:c>
      <x:c r="I15" s="22" t="str">
        <x:v>구매</x:v>
      </x:c>
      <x:c r="J15" s="22" t="str">
        <x:v>제조사 공식가는 비공개</x:v>
      </x:c>
      <x:c r="K15" s="22" t="str">
        <x:v>https://www.shop-open.co.kr/shop/shopdetail.html?branduid=1000003706</x:v>
      </x:c>
    </x:row>
    <x:row r="16">
      <x:c r="A16" s="22" t="str">
        <x:v>태블릿</x:v>
      </x:c>
      <x:c r="B16" s="22" t="str">
        <x:v>삼성 온라인 파트너 / Galaxy Tab A11+ Wi-Fi 128GB</x:v>
      </x:c>
      <x:c r="C16" s="22" t="str">
        <x:v>399,000원/대</x:v>
      </x:c>
      <x:c r="D16" s="22" t="n">
        <x:v>4</x:v>
      </x:c>
      <x:c r="E16" s="22" t="n">
        <x:v>1</x:v>
      </x:c>
      <x:c r="F16" s="22" t="str">
        <x:v>399,000×4</x:v>
      </x:c>
      <x:c r="G16" s="28" t="n">
        <x:v>1596000</x:v>
      </x:c>
      <x:c r="H16" s="22" t="str">
        <x:v>공개가격</x:v>
      </x:c>
      <x:c r="I16" s="22" t="str">
        <x:v>구매</x:v>
      </x:c>
      <x:c r="J16" s="22" t="str">
        <x:v>판매처/VAT/배송 재확인</x:v>
      </x:c>
      <x:c r="K16" s="22" t="str">
        <x:v>https://www.11st.co.kr/products/8877400292</x:v>
      </x:c>
    </x:row>
    <x:row r="17">
      <x:c r="A17" s="22" t="str">
        <x:v>API 앱·계정·라이선스</x:v>
      </x:c>
      <x:c r="B17" s="22" t="str">
        <x:v>Aram Huvis</x:v>
      </x:c>
      <x:c r="C17" s="22" t="str">
        <x:v>가격 비공개</x:v>
      </x:c>
      <x:c r="D17" s="22" t="n">
        <x:v>1</x:v>
      </x:c>
      <x:c r="E17" s="22" t="n">
        <x:v>1</x:v>
      </x:c>
      <x:c r="F17" s="22" t="str">
        <x:v>-</x:v>
      </x:c>
      <x:c r="G17" s="28" t="n">
        <x:v>0</x:v>
      </x:c>
      <x:c r="H17" s="22" t="str">
        <x:v>별도 견적</x:v>
      </x:c>
      <x:c r="I17" s="22" t="str">
        <x:v>소프트웨어</x:v>
      </x:c>
      <x:c r="J17" s="22" t="str">
        <x:v>Solutionist Plus/계정 조건</x:v>
      </x:c>
      <x:c r="K17" s="22" t="str">
        <x:v>https://www.aramhuvis.com/ko/api/</x:v>
      </x:c>
    </x:row>
    <x:row r="18">
      <x:c r="A18" s="22" t="str">
        <x:v>설치·교육·A/S</x:v>
      </x:c>
      <x:c r="B18" s="22" t="str">
        <x:v>Aram Huvis/판매처</x:v>
      </x:c>
      <x:c r="C18" s="22" t="str">
        <x:v>가격 비공개</x:v>
      </x:c>
      <x:c r="D18" s="22" t="n">
        <x:v>1</x:v>
      </x:c>
      <x:c r="E18" s="22" t="n">
        <x:v>1</x:v>
      </x:c>
      <x:c r="F18" s="22" t="str">
        <x:v>-</x:v>
      </x:c>
      <x:c r="G18" s="28" t="n">
        <x:v>0</x:v>
      </x:c>
      <x:c r="H18" s="22" t="str">
        <x:v>별도 견적</x:v>
      </x:c>
      <x:c r="I18" s="22" t="str">
        <x:v>서비스</x:v>
      </x:c>
      <x:c r="J18" s="22" t="str">
        <x:v>9번 직원교육과 중복 확인</x:v>
      </x:c>
      <x:c r="K18" s="22" t="str">
        <x:v>https://www.aramhuvis.com/ko/api/</x:v>
      </x:c>
    </x:row>
    <x:row r="20">
      <x:c r="A20" s="30" t="str">
        <x:v>6-2 피부진단 하드웨어 소계</x:v>
      </x:c>
      <x:c r="B20" s="30"/>
      <x:c r="C20" s="30"/>
      <x:c r="D20" s="30"/>
      <x:c r="E20" s="30"/>
      <x:c r="F20" s="30"/>
      <x:c r="G20" s="32" t="n">
        <x:f>SUM(G15:G18)</x:f>
        <x:v>6756000</x:v>
      </x:c>
      <x:c r="H20" s="30"/>
      <x:c r="I20" s="30"/>
      <x:c r="J20" s="30"/>
      <x:c r="K20" s="30"/>
    </x:row>
    <x:row r="22" ht="24" customHeight="1">
      <x:c r="A22" s="26" t="str">
        <x:v>6-3. 웨이팅 시스템</x:v>
      </x:c>
    </x:row>
    <x:row r="23">
      <x:c r="A23" s="18" t="str">
        <x:v>품목</x:v>
      </x:c>
      <x:c r="B23" s="18" t="str">
        <x:v>기준 회사/상품</x:v>
      </x:c>
      <x:c r="C23" s="18" t="str">
        <x:v>공개가격</x:v>
      </x:c>
      <x:c r="D23" s="18" t="str">
        <x:v>수량</x:v>
      </x:c>
      <x:c r="E23" s="18" t="str">
        <x:v>기간/횟수</x:v>
      </x:c>
      <x:c r="F23" s="18" t="str">
        <x:v>계산식</x:v>
      </x:c>
      <x:c r="G23" s="18" t="str">
        <x:v>반영액</x:v>
      </x:c>
      <x:c r="H23" s="18" t="str">
        <x:v>상태</x:v>
      </x:c>
      <x:c r="I23" s="18" t="str">
        <x:v>포함/별도</x:v>
      </x:c>
      <x:c r="J23" s="18" t="str">
        <x:v>주의</x:v>
      </x:c>
      <x:c r="K23" s="18" t="str">
        <x:v>출처 URL</x:v>
      </x:c>
    </x:row>
    <x:row r="24">
      <x:c r="A24" s="22" t="str">
        <x:v>웨이팅 서비스 이용료</x:v>
      </x:c>
      <x:c r="B24" s="22" t="str">
        <x:v>나우웨이팅</x:v>
      </x:c>
      <x:c r="C24" s="22" t="str">
        <x:v>팝업 1개월 미만 별도 가격</x:v>
      </x:c>
      <x:c r="D24" s="22" t="n">
        <x:v>1</x:v>
      </x:c>
      <x:c r="E24" s="22" t="n">
        <x:v>10</x:v>
      </x:c>
      <x:c r="F24" s="22" t="str">
        <x:v>-</x:v>
      </x:c>
      <x:c r="G24" s="28" t="n">
        <x:v>0</x:v>
      </x:c>
      <x:c r="H24" s="22" t="str">
        <x:v>별도 견적</x:v>
      </x:c>
      <x:c r="I24" s="22" t="str">
        <x:v>서비스</x:v>
      </x:c>
      <x:c r="J24" s="22" t="str">
        <x:v>일반 월 50,000원 적용 금지</x:v>
      </x:c>
      <x:c r="K24" s="22" t="str">
        <x:v>https://www.nowwaiting.co.kr/pricing</x:v>
      </x:c>
    </x:row>
    <x:row r="25">
      <x:c r="A25" s="22" t="str">
        <x:v>태블릿 렌탈</x:v>
      </x:c>
      <x:c r="B25" s="22" t="str">
        <x:v>나우웨이팅</x:v>
      </x:c>
      <x:c r="C25" s="22" t="str">
        <x:v>13,000원/월</x:v>
      </x:c>
      <x:c r="D25" s="22" t="n">
        <x:v>2</x:v>
      </x:c>
      <x:c r="E25" s="22" t="n">
        <x:v>1</x:v>
      </x:c>
      <x:c r="F25" s="22" t="str">
        <x:v>13,000×2</x:v>
      </x:c>
      <x:c r="G25" s="28" t="n">
        <x:v>26000</x:v>
      </x:c>
      <x:c r="H25" s="22" t="str">
        <x:v>공개가격 계산</x:v>
      </x:c>
      <x:c r="I25" s="22" t="str">
        <x:v>렌탈</x:v>
      </x:c>
      <x:c r="J25" s="22" t="str">
        <x:v>단기 팝업 적용조건 확인</x:v>
      </x:c>
      <x:c r="K25" s="22" t="str">
        <x:v>https://www.nowwaiting.co.kr/pricing</x:v>
      </x:c>
    </x:row>
    <x:row r="26">
      <x:c r="A26" s="22" t="str">
        <x:v>스틸 태블릿 스탠드</x:v>
      </x:c>
      <x:c r="B26" s="22" t="str">
        <x:v>나우웨이팅</x:v>
      </x:c>
      <x:c r="C26" s="22" t="str">
        <x:v>198,000원/개</x:v>
      </x:c>
      <x:c r="D26" s="22" t="n">
        <x:v>1</x:v>
      </x:c>
      <x:c r="E26" s="22" t="n">
        <x:v>1</x:v>
      </x:c>
      <x:c r="F26" s="22" t="str">
        <x:v>198,000</x:v>
      </x:c>
      <x:c r="G26" s="28" t="n">
        <x:v>198000</x:v>
      </x:c>
      <x:c r="H26" s="22" t="str">
        <x:v>공개가격</x:v>
      </x:c>
      <x:c r="I26" s="22" t="str">
        <x:v>구매</x:v>
      </x:c>
      <x:c r="J26" s="22" t="str">
        <x:v>필요수량 확인</x:v>
      </x:c>
      <x:c r="K26" s="22" t="str">
        <x:v>https://www.nowwaiting.co.kr/pricing</x:v>
      </x:c>
    </x:row>
    <x:row r="27">
      <x:c r="A27" s="22" t="str">
        <x:v>QR 웨이팅 포스터 A3</x:v>
      </x:c>
      <x:c r="B27" s="22" t="str">
        <x:v>나우웨이팅</x:v>
      </x:c>
      <x:c r="C27" s="22" t="str">
        <x:v>19,800원/개</x:v>
      </x:c>
      <x:c r="D27" s="22" t="n">
        <x:v>1</x:v>
      </x:c>
      <x:c r="E27" s="22" t="n">
        <x:v>1</x:v>
      </x:c>
      <x:c r="F27" s="22" t="str">
        <x:v>19,800</x:v>
      </x:c>
      <x:c r="G27" s="28" t="n">
        <x:v>19800</x:v>
      </x:c>
      <x:c r="H27" s="22" t="str">
        <x:v>공개가격</x:v>
      </x:c>
      <x:c r="I27" s="22" t="str">
        <x:v>구매</x:v>
      </x:c>
      <x:c r="J27" s="22" t="str">
        <x:v>운영사 제공물과 중복 확인</x:v>
      </x:c>
      <x:c r="K27" s="22" t="str">
        <x:v>https://www.nowwaiting.co.kr/pricing</x:v>
      </x:c>
    </x:row>
    <x:row r="28">
      <x:c r="A28" s="22" t="str">
        <x:v>카카오 알림톡</x:v>
      </x:c>
      <x:c r="B28" s="22" t="str">
        <x:v>나우웨이팅</x:v>
      </x:c>
      <x:c r="C28" s="22" t="str">
        <x:v>9.9원/건</x:v>
      </x:c>
      <x:c r="D28" s="22" t="n">
        <x:v>888</x:v>
      </x:c>
      <x:c r="E28" s="22" t="n">
        <x:v>1</x:v>
      </x:c>
      <x:c r="F28" s="22" t="str">
        <x:v>888×9.9≈8,800</x:v>
      </x:c>
      <x:c r="G28" s="28" t="n">
        <x:v>8800</x:v>
      </x:c>
      <x:c r="H28" s="22" t="str">
        <x:v>공개가격 계산</x:v>
      </x:c>
      <x:c r="I28" s="22" t="str">
        <x:v>메시지</x:v>
      </x:c>
      <x:c r="J28" s="22" t="str">
        <x:v>현장 444팀×2회 알림 가정</x:v>
      </x:c>
      <x:c r="K28" s="22" t="str">
        <x:v>https://www.nowwaiting.co.kr/pricing</x:v>
      </x:c>
    </x:row>
    <x:row r="30">
      <x:c r="A30" s="30" t="str">
        <x:v>6-3 공개가격 기준 웨이팅 소계</x:v>
      </x:c>
      <x:c r="B30" s="30"/>
      <x:c r="C30" s="30"/>
      <x:c r="D30" s="30"/>
      <x:c r="E30" s="30"/>
      <x:c r="F30" s="30"/>
      <x:c r="G30" s="32" t="n">
        <x:f>SUM(G24:G28)</x:f>
        <x:v>252600</x:v>
      </x:c>
      <x:c r="H30" s="30"/>
      <x:c r="I30" s="30"/>
      <x:c r="J30" s="30"/>
      <x:c r="K30" s="30"/>
    </x:row>
    <x:row r="32" ht="24" customHeight="1">
      <x:c r="A32" s="26" t="str">
        <x:v>6-4. 포토부스</x:v>
      </x:c>
    </x:row>
    <x:row r="33">
      <x:c r="A33" s="18" t="str">
        <x:v>품목</x:v>
      </x:c>
      <x:c r="B33" s="18" t="str">
        <x:v>기준 회사/상품</x:v>
      </x:c>
      <x:c r="C33" s="18" t="str">
        <x:v>공개가격</x:v>
      </x:c>
      <x:c r="D33" s="18" t="str">
        <x:v>수량</x:v>
      </x:c>
      <x:c r="E33" s="18" t="str">
        <x:v>기간</x:v>
      </x:c>
      <x:c r="F33" s="18" t="str">
        <x:v>계산식</x:v>
      </x:c>
      <x:c r="G33" s="18" t="str">
        <x:v>반영액</x:v>
      </x:c>
      <x:c r="H33" s="18" t="str">
        <x:v>상태</x:v>
      </x:c>
      <x:c r="I33" s="18" t="str">
        <x:v>포함/별도</x:v>
      </x:c>
      <x:c r="J33" s="18" t="str">
        <x:v>주의</x:v>
      </x:c>
      <x:c r="K33" s="18" t="str">
        <x:v>출처 URL</x:v>
      </x:c>
    </x:row>
    <x:row r="34">
      <x:c r="A34" s="22" t="str">
        <x:v>무인 포토부스 렌탈</x:v>
      </x:c>
      <x:c r="B34" s="22" t="str">
        <x:v>MUFI</x:v>
      </x:c>
      <x:c r="C34" s="22" t="str">
        <x:v>1일 650,000 / 2일차 +450,000 / 3일차 +350,000</x:v>
      </x:c>
      <x:c r="D34" s="22" t="n">
        <x:v>1</x:v>
      </x:c>
      <x:c r="E34" s="22" t="n">
        <x:v>10</x:v>
      </x:c>
      <x:c r="F34" s="22" t="str">
        <x:v>10일 공개총액 없음</x:v>
      </x:c>
      <x:c r="G34" s="28" t="n">
        <x:v>0</x:v>
      </x:c>
      <x:c r="H34" s="22" t="str">
        <x:v>별도 장기견적</x:v>
      </x:c>
      <x:c r="I34" s="22" t="str">
        <x:v>렌탈</x:v>
      </x:c>
      <x:c r="J34" s="22" t="str">
        <x:v>3일 기준으로 10일 외삽 금지</x:v>
      </x:c>
      <x:c r="K34" s="22" t="str">
        <x:v>https://rental.muinfilm.com/pricing</x:v>
      </x:c>
    </x:row>
    <x:row r="35">
      <x:c r="A35" s="22" t="str">
        <x:v>서울·수도권 출장</x:v>
      </x:c>
      <x:c r="B35" s="22" t="str">
        <x:v>MUFI</x:v>
      </x:c>
      <x:c r="C35" s="22" t="str">
        <x:v>100,000원</x:v>
      </x:c>
      <x:c r="D35" s="22" t="n">
        <x:v>1</x:v>
      </x:c>
      <x:c r="E35" s="22" t="n">
        <x:v>1</x:v>
      </x:c>
      <x:c r="F35" s="22" t="str">
        <x:v>10일 견적에 통합 확인</x:v>
      </x:c>
      <x:c r="G35" s="28" t="n">
        <x:v>0</x:v>
      </x:c>
      <x:c r="H35" s="22" t="str">
        <x:v>별도 확인</x:v>
      </x:c>
      <x:c r="I35" s="22" t="str">
        <x:v>출장</x:v>
      </x:c>
      <x:c r="J35" s="22" t="str">
        <x:v>장기렌탈 견적 시 포함여부</x:v>
      </x:c>
      <x:c r="K35" s="22" t="str">
        <x:v>https://rental.muinfilm.com/pricing</x:v>
      </x:c>
    </x:row>
    <x:row r="36">
      <x:c r="A36" s="22" t="str">
        <x:v>VAT</x:v>
      </x:c>
      <x:c r="B36" s="22" t="str">
        <x:v>MUFI</x:v>
      </x:c>
      <x:c r="C36" s="22" t="str">
        <x:v>10% 별도</x:v>
      </x:c>
      <x:c r="D36" s="22" t="n">
        <x:v>1</x:v>
      </x:c>
      <x:c r="E36" s="22" t="n">
        <x:v>1</x:v>
      </x:c>
      <x:c r="F36" s="22" t="str">
        <x:v>정식 견적 기준</x:v>
      </x:c>
      <x:c r="G36" s="28" t="n">
        <x:v>0</x:v>
      </x:c>
      <x:c r="H36" s="22" t="str">
        <x:v>별도 확인</x:v>
      </x:c>
      <x:c r="I36" s="22" t="str">
        <x:v>세금</x:v>
      </x:c>
      <x:c r="J36" s="22" t="str">
        <x:v>10일 총액 후 계산</x:v>
      </x:c>
      <x:c r="K36" s="22" t="str">
        <x:v>https://rental.muinfilm.com/pricing</x:v>
      </x:c>
    </x:row>
    <x:row r="37">
      <x:c r="A37" s="22" t="str">
        <x:v>참고: 첫 3일 공개기준</x:v>
      </x:c>
      <x:c r="B37" s="22" t="str">
        <x:v>MUFI</x:v>
      </x:c>
      <x:c r="C37" s="22" t="str">
        <x:v>650,000+450,000+350,000+100,000</x:v>
      </x:c>
      <x:c r="D37" s="22" t="n">
        <x:v>1</x:v>
      </x:c>
      <x:c r="E37" s="22" t="n">
        <x:v>3</x:v>
      </x:c>
      <x:c r="F37" s="22" t="str">
        <x:v>공급가 1,550,000 / VAT 포함 1,705,000</x:v>
      </x:c>
      <x:c r="G37" s="28" t="n">
        <x:v>0</x:v>
      </x:c>
      <x:c r="H37" s="22" t="str">
        <x:v>참고만</x:v>
      </x:c>
      <x:c r="I37" s="22" t="str">
        <x:v>예산 미반영</x:v>
      </x:c>
      <x:c r="J37" s="22" t="str">
        <x:v>행사 10일이라 소계 제외</x:v>
      </x:c>
      <x:c r="K37" s="22" t="str">
        <x:v>https://rental.muinfilm.com/pricing</x:v>
      </x:c>
    </x:row>
    <x:row r="39" ht="24" customHeight="1">
      <x:c r="A39" s="26" t="str">
        <x:v>6-5. QR 개인화 결과 웹페이지</x:v>
      </x:c>
    </x:row>
    <x:row r="40">
      <x:c r="A40" s="18" t="str">
        <x:v>품목</x:v>
      </x:c>
      <x:c r="B40" s="18" t="str">
        <x:v>기준 회사/상품</x:v>
      </x:c>
      <x:c r="C40" s="18" t="str">
        <x:v>공개가격</x:v>
      </x:c>
      <x:c r="D40" s="18" t="str">
        <x:v>수량</x:v>
      </x:c>
      <x:c r="E40" s="18" t="str">
        <x:v>기간</x:v>
      </x:c>
      <x:c r="F40" s="18" t="str">
        <x:v>계산식</x:v>
      </x:c>
      <x:c r="G40" s="18" t="str">
        <x:v>반영액</x:v>
      </x:c>
      <x:c r="H40" s="18" t="str">
        <x:v>상태</x:v>
      </x:c>
      <x:c r="I40" s="18" t="str">
        <x:v>포함/별도</x:v>
      </x:c>
      <x:c r="J40" s="18" t="str">
        <x:v>주의</x:v>
      </x:c>
      <x:c r="K40" s="18" t="str">
        <x:v>출처 URL</x:v>
      </x:c>
    </x:row>
    <x:row r="41">
      <x:c r="A41" s="22" t="str">
        <x:v>QR 결과 웹앱 개발</x:v>
      </x:c>
      <x:c r="B41" s="22" t="str">
        <x:v>크몽 파츠마켓 DELUXE</x:v>
      </x:c>
      <x:c r="C41" s="22" t="str">
        <x:v>1,500,000원</x:v>
      </x:c>
      <x:c r="D41" s="22" t="n">
        <x:v>1</x:v>
      </x:c>
      <x:c r="E41" s="22" t="n">
        <x:v>1</x:v>
      </x:c>
      <x:c r="F41" s="22" t="str">
        <x:v>1,500,000</x:v>
      </x:c>
      <x:c r="G41" s="28" t="n">
        <x:v>1500000</x:v>
      </x:c>
      <x:c r="H41" s="22" t="str">
        <x:v>공개가격</x:v>
      </x:c>
      <x:c r="I41" s="22" t="str">
        <x:v>개발</x:v>
      </x:c>
      <x:c r="J41" s="22" t="str">
        <x:v>3기능 MVP 기준</x:v>
      </x:c>
      <x:c r="K41" s="22" t="str">
        <x:v>https://kmong.com/gig/761255</x:v>
      </x:c>
    </x:row>
    <x:row r="42">
      <x:c r="A42" s="22" t="str">
        <x:v>플랫폼 결제수수료</x:v>
      </x:c>
      <x:c r="B42" s="22" t="str">
        <x:v>크몽</x:v>
      </x:c>
      <x:c r="C42" s="22" t="str">
        <x:v>4.5%</x:v>
      </x:c>
      <x:c r="D42" s="22" t="n">
        <x:v>1</x:v>
      </x:c>
      <x:c r="E42" s="22" t="n">
        <x:v>1</x:v>
      </x:c>
      <x:c r="F42" s="22" t="str">
        <x:v>1,500,000×4.5%</x:v>
      </x:c>
      <x:c r="G42" s="28" t="n">
        <x:v>67500</x:v>
      </x:c>
      <x:c r="H42" s="22" t="str">
        <x:v>공개가격 계산</x:v>
      </x:c>
      <x:c r="I42" s="22" t="str">
        <x:v>수수료</x:v>
      </x:c>
      <x:c r="J42" s="22" t="str">
        <x:v>결제조건 재확인</x:v>
      </x:c>
      <x:c r="K42" s="22" t="str">
        <x:v>https://kmong.com/gig/761255</x:v>
      </x:c>
    </x:row>
    <x:row r="43">
      <x:c r="A43" s="22" t="str">
        <x:v>외부 API 자동연동</x:v>
      </x:c>
      <x:c r="B43" s="22" t="str">
        <x:v>파츠마켓/별도 개발</x:v>
      </x:c>
      <x:c r="C43" s="22" t="str">
        <x:v>가격 비공개</x:v>
      </x:c>
      <x:c r="D43" s="22" t="n">
        <x:v>1</x:v>
      </x:c>
      <x:c r="E43" s="22" t="n">
        <x:v>1</x:v>
      </x:c>
      <x:c r="F43" s="22" t="str">
        <x:v>-</x:v>
      </x:c>
      <x:c r="G43" s="28" t="n">
        <x:v>0</x:v>
      </x:c>
      <x:c r="H43" s="22" t="str">
        <x:v>별도 견적</x:v>
      </x:c>
      <x:c r="I43" s="22" t="str">
        <x:v>개발</x:v>
      </x:c>
      <x:c r="J43" s="22" t="str">
        <x:v>API-100 자동연동 시 추가</x:v>
      </x:c>
      <x:c r="K43" s="22" t="str">
        <x:v>https://kmong.com/gig/761255</x:v>
      </x:c>
    </x:row>
    <x:row r="45">
      <x:c r="A45" s="30" t="str">
        <x:v>6-5 QR 웹 1차 소계</x:v>
      </x:c>
      <x:c r="B45" s="30"/>
      <x:c r="C45" s="30"/>
      <x:c r="D45" s="30"/>
      <x:c r="E45" s="30"/>
      <x:c r="F45" s="30"/>
      <x:c r="G45" s="32" t="n">
        <x:f>SUM(G41:G43)</x:f>
        <x:v>1567500</x:v>
      </x:c>
      <x:c r="H45" s="30"/>
      <x:c r="I45" s="30"/>
      <x:c r="J45" s="30"/>
      <x:c r="K45" s="30"/>
    </x:row>
    <x:row r="47" ht="24" customHeight="1">
      <x:c r="A47" s="26" t="str">
        <x:v>6-6. 6번 최종 정리</x:v>
      </x:c>
    </x:row>
    <x:row r="48">
      <x:c r="A48" s="18" t="str">
        <x:v>구분</x:v>
      </x:c>
      <x:c r="B48" s="18" t="str">
        <x:v>현재 공개가격 기준 금액</x:v>
      </x:c>
      <x:c r="C48" s="18" t="str">
        <x:v>별도 견적/확인</x:v>
      </x:c>
      <x:c r="D48" s="18" t="str">
        <x:v>비고</x:v>
      </x:c>
      <x:c r="E48" s="18" t="str">
        <x:v>기준 회사</x:v>
      </x:c>
      <x:c r="F48" s="18" t="str">
        <x:v>가격 상태</x:v>
      </x:c>
      <x:c r="G48" s="18" t="str">
        <x:v>반영 여부</x:v>
      </x:c>
      <x:c r="H48" s="18" t="str">
        <x:v>추가 액션</x:v>
      </x:c>
      <x:c r="I48" s="18" t="str">
        <x:v>출처</x:v>
      </x:c>
      <x:c r="J48" s="18" t="str">
        <x:v>담당</x:v>
      </x:c>
      <x:c r="K48" s="18" t="str">
        <x:v>완료</x:v>
      </x:c>
    </x:row>
    <x:row r="49">
      <x:c r="A49" s="22" t="str">
        <x:v>이동형 집기</x:v>
      </x:c>
      <x:c r="B49" s="28" t="n">
        <x:v>1108800</x:v>
      </x:c>
      <x:c r="C49" s="22" t="str">
        <x:v>렌탈일수 조건</x:v>
      </x:c>
      <x:c r="D49" s="22" t="str">
        <x:v>테이블·의자·배송</x:v>
      </x:c>
      <x:c r="E49" s="22" t="str">
        <x:v>한칸/RentalStory</x:v>
      </x:c>
      <x:c r="F49" s="22" t="str">
        <x:v>공개가격</x:v>
      </x:c>
      <x:c r="G49" s="22" t="str">
        <x:v>반영</x:v>
      </x:c>
      <x:c r="H49" s="22" t="str">
        <x:v>렌탈 시작/회수일 확인</x:v>
      </x:c>
      <x:c r="I49" s="22" t="str"/>
      <x:c r="J49" s="22" t="str"/>
      <x:c r="K49" s="22" t="str"/>
    </x:row>
    <x:row r="50">
      <x:c r="A50" s="22" t="str">
        <x:v>피부진단 하드웨어</x:v>
      </x:c>
      <x:c r="B50" s="28" t="n">
        <x:v>6756000</x:v>
      </x:c>
      <x:c r="C50" s="22" t="str">
        <x:v>앱·계정·설치·교육·A/S</x:v>
      </x:c>
      <x:c r="D50" s="22" t="str">
        <x:v>API-100 4대 + 태블릿4대</x:v>
      </x:c>
      <x:c r="E50" s="22" t="str">
        <x:v>Aram Huvis/현대트레이딩/삼성</x:v>
      </x:c>
      <x:c r="F50" s="22" t="str">
        <x:v>공개가격 일부</x:v>
      </x:c>
      <x:c r="G50" s="22" t="str">
        <x:v>반영</x:v>
      </x:c>
      <x:c r="H50" s="22" t="str">
        <x:v>소프트웨어 견적 요청</x:v>
      </x:c>
      <x:c r="I50" s="22" t="str"/>
      <x:c r="J50" s="22" t="str"/>
      <x:c r="K50" s="22" t="str"/>
    </x:row>
    <x:row r="51">
      <x:c r="A51" s="22" t="str">
        <x:v>웨이팅</x:v>
      </x:c>
      <x:c r="B51" s="28" t="n">
        <x:v>252600</x:v>
      </x:c>
      <x:c r="C51" s="22" t="str">
        <x:v>팝업 전용 서비스 이용료</x:v>
      </x:c>
      <x:c r="D51" s="22" t="str">
        <x:v>태블릿2+스탠드1+A3+알림톡</x:v>
      </x:c>
      <x:c r="E51" s="22" t="str">
        <x:v>나우웨이팅</x:v>
      </x:c>
      <x:c r="F51" s="22" t="str">
        <x:v>공개가격 일부</x:v>
      </x:c>
      <x:c r="G51" s="22" t="str">
        <x:v>반영</x:v>
      </x:c>
      <x:c r="H51" s="22" t="str">
        <x:v>10일 팝업 견적</x:v>
      </x:c>
      <x:c r="I51" s="22" t="str"/>
      <x:c r="J51" s="22" t="str"/>
      <x:c r="K51" s="22" t="str"/>
    </x:row>
    <x:row r="52">
      <x:c r="A52" s="22" t="str">
        <x:v>포토부스</x:v>
      </x:c>
      <x:c r="B52" s="28" t="n">
        <x:v>0</x:v>
      </x:c>
      <x:c r="C52" s="22" t="str">
        <x:v>10일 장기렌탈</x:v>
      </x:c>
      <x:c r="D52" s="22" t="str">
        <x:v>3일 공개가는 참고만</x:v>
      </x:c>
      <x:c r="E52" s="22" t="str">
        <x:v>MUFI</x:v>
      </x:c>
      <x:c r="F52" s="22" t="str">
        <x:v>10일 가격 비공개</x:v>
      </x:c>
      <x:c r="G52" s="22" t="str">
        <x:v>미반영</x:v>
      </x:c>
      <x:c r="H52" s="22" t="str">
        <x:v>10일 정식 견적</x:v>
      </x:c>
      <x:c r="I52" s="22" t="str"/>
      <x:c r="J52" s="22" t="str"/>
      <x:c r="K52" s="22" t="str"/>
    </x:row>
    <x:row r="53">
      <x:c r="A53" s="22" t="str">
        <x:v>QR 웹</x:v>
      </x:c>
      <x:c r="B53" s="28" t="n">
        <x:v>1567500</x:v>
      </x:c>
      <x:c r="C53" s="22" t="str">
        <x:v>API 연동 등 추가기능</x:v>
      </x:c>
      <x:c r="D53" s="22" t="str">
        <x:v>DELUXE 3기능 MVP</x:v>
      </x:c>
      <x:c r="E53" s="22" t="str">
        <x:v>파츠마켓/크몽</x:v>
      </x:c>
      <x:c r="F53" s="22" t="str">
        <x:v>공개가격</x:v>
      </x:c>
      <x:c r="G53" s="22" t="str">
        <x:v>반영</x:v>
      </x:c>
      <x:c r="H53" s="22" t="str">
        <x:v>필요기능 확정</x:v>
      </x:c>
      <x:c r="I53" s="22" t="str"/>
      <x:c r="J53" s="22" t="str"/>
      <x:c r="K53" s="22" t="str"/>
    </x:row>
    <x:row r="55">
      <x:c r="A55" s="30" t="str">
        <x:v>6번 현재 공개가격으로 계산 가능한 금액</x:v>
      </x:c>
      <x:c r="B55" s="32" t="n">
        <x:f>SUM(B49:B53)</x:f>
        <x:v>9684900</x:v>
      </x:c>
      <x:c r="C55" s="30"/>
      <x:c r="D55" s="30"/>
      <x:c r="E55" s="30"/>
      <x:c r="F55" s="30"/>
      <x:c r="G55" s="30"/>
      <x:c r="H55" s="30"/>
      <x:c r="I55" s="30"/>
      <x:c r="J55" s="30"/>
      <x:c r="K55" s="30"/>
    </x:row>
  </x:sheetData>
  <x:mergeCells>
    <x:mergeCell ref="A1:K1"/>
    <x:mergeCell ref="A3:K3"/>
    <x:mergeCell ref="A5:K5"/>
    <x:mergeCell ref="A11:F11"/>
    <x:mergeCell ref="A13:K13"/>
    <x:mergeCell ref="A20:F20"/>
    <x:mergeCell ref="A22:K22"/>
    <x:mergeCell ref="A30:F30"/>
    <x:mergeCell ref="A32:K32"/>
    <x:mergeCell ref="A39:K39"/>
    <x:mergeCell ref="A45:F45"/>
    <x:mergeCell ref="A47:K4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  <x:col min="5" max="5" width="20" hidden="0" customWidth="1"/>
    <x:col min="6" max="6" width="24" hidden="0" customWidth="1"/>
    <x:col min="7" max="7" width="20" hidden="0" customWidth="1"/>
    <x:col min="8" max="8" width="12" hidden="0" customWidth="1"/>
    <x:col min="9" max="9" width="12" hidden="0" customWidth="1"/>
    <x:col min="10" max="10" width="18" hidden="0" customWidth="1"/>
    <x:col min="11" max="11" width="28" hidden="0" customWidth="1"/>
  </x:cols>
  <x:sheetData>
    <x:row r="1" ht="30" customHeight="1">
      <x:c r="A1" s="4" t="str">
        <x:v>7. 인쇄물·스티커·운영 제작물</x:v>
      </x:c>
    </x:row>
    <x:row r="3" ht="34" customHeight="1">
      <x:c r="A3" s="10" t="str">
        <x:v>발주수량은 방문객 약 2,781명에 예비분을 더해 3,100명 기준. 루틴 팸플릿=브랜드 리플렛 역할, 쿠폰=QR 디지털 쿠폰. 고정 VMD는 4번으로 분리.</x:v>
      </x:c>
    </x:row>
    <x:row r="5" ht="24" customHeight="1">
      <x:c r="A5" s="26" t="str">
        <x:v>7-1. 루틴 팸플릿</x:v>
      </x:c>
    </x:row>
    <x:row r="6">
      <x:c r="A6" s="18" t="str">
        <x:v>품목</x:v>
      </x:c>
      <x:c r="B6" s="18" t="str">
        <x:v>기준 회사/상품</x:v>
      </x:c>
      <x:c r="C6" s="18" t="str">
        <x:v>공개가격</x:v>
      </x:c>
      <x:c r="D6" s="18" t="str">
        <x:v>필요수량</x:v>
      </x:c>
      <x:c r="E6" s="18" t="str">
        <x:v>계산</x:v>
      </x:c>
      <x:c r="F6" s="18" t="str">
        <x:v>반영액</x:v>
      </x:c>
      <x:c r="G6" s="18" t="str">
        <x:v>상태</x:v>
      </x:c>
      <x:c r="H6" s="18" t="str">
        <x:v>VAT</x:v>
      </x:c>
      <x:c r="I6" s="18" t="str">
        <x:v>배송</x:v>
      </x:c>
      <x:c r="J6" s="18" t="str">
        <x:v>추가 확인</x:v>
      </x:c>
      <x:c r="K6" s="18" t="str">
        <x:v>출처 URL</x:v>
      </x:c>
    </x:row>
    <x:row r="7">
      <x:c r="A7" s="22" t="str">
        <x:v>A4 3단 루틴 팸플릿</x:v>
      </x:c>
      <x:c r="B7" s="22" t="str">
        <x:v>나눔인쇄 / 스노우180g·양면컬러</x:v>
      </x:c>
      <x:c r="C7" s="22" t="str">
        <x:v>3,000부 277,000원</x:v>
      </x:c>
      <x:c r="D7" s="22" t="n">
        <x:v>3100</x:v>
      </x:c>
      <x:c r="E7" s="22" t="str">
        <x:v>3,000부 공개가만 반영</x:v>
      </x:c>
      <x:c r="F7" s="28" t="n">
        <x:v>277000</x:v>
      </x:c>
      <x:c r="G7" s="22" t="str">
        <x:v>공개가격+100부 별도</x:v>
      </x:c>
      <x:c r="H7" s="22" t="str">
        <x:v>별도</x:v>
      </x:c>
      <x:c r="I7" s="22" t="str">
        <x:v>별도</x:v>
      </x:c>
      <x:c r="J7" s="22" t="str">
        <x:v>추가100부 가격/접지·오시</x:v>
      </x:c>
      <x:c r="K7" s="22" t="str">
        <x:v>https://www.nanumprinting.co.kr/estimate/EasyEstimate?gb=leaflet</x:v>
      </x:c>
    </x:row>
    <x:row r="8">
      <x:c r="A8" s="22" t="str">
        <x:v>인쇄 디자인(선택)</x:v>
      </x:c>
      <x:c r="B8" s="22" t="str">
        <x:v>나눔인쇄 3단 리플렛 디자인</x:v>
      </x:c>
      <x:c r="C8" s="22" t="str">
        <x:v>210,000원</x:v>
      </x:c>
      <x:c r="D8" s="22" t="n">
        <x:v>1</x:v>
      </x:c>
      <x:c r="E8" s="22" t="str">
        <x:v>필요 시</x:v>
      </x:c>
      <x:c r="F8" s="28" t="n">
        <x:v>0</x:v>
      </x:c>
      <x:c r="G8" s="22" t="str">
        <x:v>선택사항</x:v>
      </x:c>
      <x:c r="H8" s="22" t="str">
        <x:v>별도</x:v>
      </x:c>
      <x:c r="I8" s="22" t="str">
        <x:v>별도</x:v>
      </x:c>
      <x:c r="J8" s="22" t="str">
        <x:v>브랜드 디자인 파일 활용 시 미발주</x:v>
      </x:c>
      <x:c r="K8" s="22" t="str">
        <x:v>https://www.nanumprinting.co.kr/desk/DesignUcTable</x:v>
      </x:c>
    </x:row>
    <x:row r="10" ht="24" customHeight="1">
      <x:c r="A10" s="26" t="str">
        <x:v>7-2. 제품 선택 스티커</x:v>
      </x:c>
    </x:row>
    <x:row r="11">
      <x:c r="A11" s="18" t="str">
        <x:v>품목</x:v>
      </x:c>
      <x:c r="B11" s="18" t="str">
        <x:v>기준 회사/상품</x:v>
      </x:c>
      <x:c r="C11" s="18" t="str">
        <x:v>공개가격</x:v>
      </x:c>
      <x:c r="D11" s="18" t="str">
        <x:v>필요수량</x:v>
      </x:c>
      <x:c r="E11" s="18" t="str">
        <x:v>계산</x:v>
      </x:c>
      <x:c r="F11" s="18" t="str">
        <x:v>반영액</x:v>
      </x:c>
      <x:c r="G11" s="18" t="str">
        <x:v>상태</x:v>
      </x:c>
      <x:c r="H11" s="18" t="str">
        <x:v>VAT</x:v>
      </x:c>
      <x:c r="I11" s="18" t="str">
        <x:v>배송</x:v>
      </x:c>
      <x:c r="J11" s="18" t="str">
        <x:v>추가 확인</x:v>
      </x:c>
      <x:c r="K11" s="18" t="str">
        <x:v>출처 URL</x:v>
      </x:c>
    </x:row>
    <x:row r="12">
      <x:c r="A12" s="22" t="str">
        <x:v>16종 제품 판스티커</x:v>
      </x:c>
      <x:c r="B12" s="22" t="str">
        <x:v>레드프린팅 / 판스티커</x:v>
      </x:c>
      <x:c r="C12" s="22" t="str">
        <x:v>1,000원/판</x:v>
      </x:c>
      <x:c r="D12" s="22" t="n">
        <x:v>576</x:v>
      </x:c>
      <x:c r="E12" s="22" t="str">
        <x:v>36판/제품×16종</x:v>
      </x:c>
      <x:c r="F12" s="28" t="n">
        <x:v>576000</x:v>
      </x:c>
      <x:c r="G12" s="22" t="str">
        <x:v>공개가격 계산</x:v>
      </x:c>
      <x:c r="H12" s="22" t="str">
        <x:v>확인</x:v>
      </x:c>
      <x:c r="I12" s="22" t="str">
        <x:v>확인</x:v>
      </x:c>
      <x:c r="J12" s="22" t="str">
        <x:v>24개/판 배치 가능 여부, 크기·칼선</x:v>
      </x:c>
      <x:c r="K12" s="22" t="str">
        <x:v>https://m.redprinting.co.kr/landing/stickers/pan-sticker-templates</x:v>
      </x:c>
    </x:row>
    <x:row r="14" ht="34" customHeight="1">
      <x:c r="A14" s="38" t="str">
        <x:v>수량 가정: 3,100명×4개=12,400개 → 16제품별 약 775개 → 24개/판 가정 시 약 33판/제품 → 예비분 포함 36판/제품, 총 576판. 24개/판은 실제 규격 확인 필요.</x:v>
      </x:c>
    </x:row>
    <x:row r="16" ht="24" customHeight="1">
      <x:c r="A16" s="26" t="str">
        <x:v>7-3. 제품 정보카드</x:v>
      </x:c>
    </x:row>
    <x:row r="17">
      <x:c r="A17" s="18" t="str">
        <x:v>품목</x:v>
      </x:c>
      <x:c r="B17" s="18" t="str">
        <x:v>기준 회사/상품</x:v>
      </x:c>
      <x:c r="C17" s="18" t="str">
        <x:v>공개가격</x:v>
      </x:c>
      <x:c r="D17" s="18" t="str">
        <x:v>필요수량</x:v>
      </x:c>
      <x:c r="E17" s="18" t="str">
        <x:v>계산</x:v>
      </x:c>
      <x:c r="F17" s="18" t="str">
        <x:v>반영액</x:v>
      </x:c>
      <x:c r="G17" s="18" t="str">
        <x:v>상태</x:v>
      </x:c>
      <x:c r="H17" s="18" t="str">
        <x:v>VAT</x:v>
      </x:c>
      <x:c r="I17" s="18" t="str">
        <x:v>배송</x:v>
      </x:c>
      <x:c r="J17" s="18" t="str">
        <x:v>추가 확인</x:v>
      </x:c>
      <x:c r="K17" s="18" t="str">
        <x:v>출처 URL</x:v>
      </x:c>
    </x:row>
    <x:row r="18">
      <x:c r="A18" s="22" t="str">
        <x:v>제품 정보카드</x:v>
      </x:c>
      <x:c r="B18" s="22" t="str">
        <x:v>레드프린팅 / 일반 카드</x:v>
      </x:c>
      <x:c r="C18" s="22" t="str">
        <x:v>12,400원/50장</x:v>
      </x:c>
      <x:c r="D18" s="22" t="n">
        <x:v>50</x:v>
      </x:c>
      <x:c r="E18" s="22" t="str">
        <x:v>1세트</x:v>
      </x:c>
      <x:c r="F18" s="28" t="n">
        <x:v>12400</x:v>
      </x:c>
      <x:c r="G18" s="22" t="str">
        <x:v>공개가격</x:v>
      </x:c>
      <x:c r="H18" s="22" t="str">
        <x:v>확인</x:v>
      </x:c>
      <x:c r="I18" s="22" t="str">
        <x:v>확인</x:v>
      </x:c>
      <x:c r="J18" s="22" t="str">
        <x:v>16종 진열용+여유분</x:v>
      </x:c>
      <x:c r="K18" s="22" t="str">
        <x:v>https://www.redprinting.co.kr/ko/landing/stationery/cards</x:v>
      </x:c>
    </x:row>
    <x:row r="21" ht="24" customHeight="1">
      <x:c r="A21" s="26" t="str">
        <x:v>7-4. 운영용 포스터</x:v>
      </x:c>
    </x:row>
    <x:row r="22">
      <x:c r="A22" s="18" t="str">
        <x:v>품목</x:v>
      </x:c>
      <x:c r="B22" s="18" t="str">
        <x:v>기준 회사/상품</x:v>
      </x:c>
      <x:c r="C22" s="18" t="str">
        <x:v>공개가격</x:v>
      </x:c>
      <x:c r="D22" s="18" t="str">
        <x:v>필요수량</x:v>
      </x:c>
      <x:c r="E22" s="18" t="str">
        <x:v>계산</x:v>
      </x:c>
      <x:c r="F22" s="18" t="str">
        <x:v>반영액</x:v>
      </x:c>
      <x:c r="G22" s="18" t="str">
        <x:v>상태</x:v>
      </x:c>
      <x:c r="H22" s="18" t="str">
        <x:v>VAT</x:v>
      </x:c>
      <x:c r="I22" s="18" t="str">
        <x:v>배송</x:v>
      </x:c>
      <x:c r="J22" s="18" t="str">
        <x:v>추가 확인</x:v>
      </x:c>
      <x:c r="K22" s="18" t="str">
        <x:v>출처 URL</x:v>
      </x:c>
    </x:row>
    <x:row r="23">
      <x:c r="A23" s="22" t="str">
        <x:v>A1 운영 포스터</x:v>
      </x:c>
      <x:c r="B23" s="22" t="str">
        <x:v>레드프린팅 / 대형 종이포스터 A1</x:v>
      </x:c>
      <x:c r="C23" s="22" t="str">
        <x:v>9,500원/장</x:v>
      </x:c>
      <x:c r="D23" s="22" t="n">
        <x:v>4</x:v>
      </x:c>
      <x:c r="E23" s="22" t="str">
        <x:v>9,500×4</x:v>
      </x:c>
      <x:c r="F23" s="28" t="n">
        <x:v>38000</x:v>
      </x:c>
      <x:c r="G23" s="22" t="str">
        <x:v>공개가격 계산</x:v>
      </x:c>
      <x:c r="H23" s="22" t="str">
        <x:v>확인</x:v>
      </x:c>
      <x:c r="I23" s="22" t="str">
        <x:v>확인</x:v>
      </x:c>
      <x:c r="J23" s="22" t="str">
        <x:v>운영시간/예약입장/피부진단/SNS 안내</x:v>
      </x:c>
      <x:c r="K23" s="22" t="str">
        <x:v>https://www.redprinting.co.kr/ko/landing/promotional-items/posters</x:v>
      </x:c>
    </x:row>
    <x:row r="26" ht="24" customHeight="1">
      <x:c r="A26" s="26" t="str">
        <x:v>7-5. 직원 명찰</x:v>
      </x:c>
    </x:row>
    <x:row r="27">
      <x:c r="A27" s="18" t="str">
        <x:v>품목</x:v>
      </x:c>
      <x:c r="B27" s="18" t="str">
        <x:v>기준 회사/상품</x:v>
      </x:c>
      <x:c r="C27" s="18" t="str">
        <x:v>공개가격</x:v>
      </x:c>
      <x:c r="D27" s="18" t="str">
        <x:v>필요수량</x:v>
      </x:c>
      <x:c r="E27" s="18" t="str">
        <x:v>계산</x:v>
      </x:c>
      <x:c r="F27" s="18" t="str">
        <x:v>반영액</x:v>
      </x:c>
      <x:c r="G27" s="18" t="str">
        <x:v>상태</x:v>
      </x:c>
      <x:c r="H27" s="18" t="str">
        <x:v>VAT</x:v>
      </x:c>
      <x:c r="I27" s="18" t="str">
        <x:v>배송</x:v>
      </x:c>
      <x:c r="J27" s="18" t="str">
        <x:v>추가 확인</x:v>
      </x:c>
      <x:c r="K27" s="18" t="str">
        <x:v>출처 URL</x:v>
      </x:c>
    </x:row>
    <x:row r="28">
      <x:c r="A28" s="22" t="str">
        <x:v>직원 아크릴 명찰</x:v>
      </x:c>
      <x:c r="B28" s="22" t="str">
        <x:v>레드프린팅 / 아크릴 명찰</x:v>
      </x:c>
      <x:c r="C28" s="22" t="str">
        <x:v>3,300원/개</x:v>
      </x:c>
      <x:c r="D28" s="22" t="n">
        <x:v>23</x:v>
      </x:c>
      <x:c r="E28" s="22" t="str">
        <x:v>3,300×23</x:v>
      </x:c>
      <x:c r="F28" s="28" t="n">
        <x:v>75900</x:v>
      </x:c>
      <x:c r="G28" s="22" t="str">
        <x:v>공개가격 계산</x:v>
      </x:c>
      <x:c r="H28" s="22" t="str">
        <x:v>확인</x:v>
      </x:c>
      <x:c r="I28" s="22" t="str">
        <x:v>확인</x:v>
      </x:c>
      <x:c r="J28" s="22" t="str">
        <x:v>최대 운영인원 23명 기준</x:v>
      </x:c>
      <x:c r="K28" s="22" t="str">
        <x:v>https://www.redprinting.co.kr/ko/landing/acrylparty</x:v>
      </x:c>
    </x:row>
    <x:row r="31" ht="24" customHeight="1">
      <x:c r="A31" s="26" t="str">
        <x:v>7-6. 직원 운영 매뉴얼</x:v>
      </x:c>
    </x:row>
    <x:row r="32">
      <x:c r="A32" s="18" t="str">
        <x:v>품목</x:v>
      </x:c>
      <x:c r="B32" s="18" t="str">
        <x:v>기준 회사/상품</x:v>
      </x:c>
      <x:c r="C32" s="18" t="str">
        <x:v>공개가격</x:v>
      </x:c>
      <x:c r="D32" s="18" t="str">
        <x:v>필요수량</x:v>
      </x:c>
      <x:c r="E32" s="18" t="str">
        <x:v>계산</x:v>
      </x:c>
      <x:c r="F32" s="18" t="str">
        <x:v>반영액</x:v>
      </x:c>
      <x:c r="G32" s="18" t="str">
        <x:v>상태</x:v>
      </x:c>
      <x:c r="H32" s="18" t="str">
        <x:v>VAT</x:v>
      </x:c>
      <x:c r="I32" s="18" t="str">
        <x:v>배송</x:v>
      </x:c>
      <x:c r="J32" s="18" t="str">
        <x:v>추가 확인</x:v>
      </x:c>
      <x:c r="K32" s="18" t="str">
        <x:v>출처 URL</x:v>
      </x:c>
    </x:row>
    <x:row r="33">
      <x:c r="A33" s="22" t="str">
        <x:v>현장 운영 링바인더</x:v>
      </x:c>
      <x:c r="B33" s="22" t="str">
        <x:v>레드프린팅 / 링바인더</x:v>
      </x:c>
      <x:c r="C33" s="22" t="str">
        <x:v>12,100원부터/개</x:v>
      </x:c>
      <x:c r="D33" s="22" t="n">
        <x:v>4</x:v>
      </x:c>
      <x:c r="E33" s="22" t="str">
        <x:v>12,100×4</x:v>
      </x:c>
      <x:c r="F33" s="28" t="n">
        <x:v>48400</x:v>
      </x:c>
      <x:c r="G33" s="22" t="str">
        <x:v>공개 시작가 계산</x:v>
      </x:c>
      <x:c r="H33" s="22" t="str">
        <x:v>확인</x:v>
      </x:c>
      <x:c r="I33" s="22" t="str">
        <x:v>확인</x:v>
      </x:c>
      <x:c r="J33" s="22" t="str">
        <x:v>구역별 공용 4개</x:v>
      </x:c>
      <x:c r="K33" s="22" t="str">
        <x:v>https://m.redprinting.co.kr/landing/fairlist</x:v>
      </x:c>
    </x:row>
    <x:row r="34">
      <x:c r="A34" s="22" t="str">
        <x:v>매뉴얼 내지</x:v>
      </x:c>
      <x:c r="B34" s="22" t="str">
        <x:v>레드프린팅/인쇄업체</x:v>
      </x:c>
      <x:c r="C34" s="22" t="str">
        <x:v>페이지 수 미확정</x:v>
      </x:c>
      <x:c r="D34" s="22" t="n">
        <x:v>4</x:v>
      </x:c>
      <x:c r="E34" s="22" t="str">
        <x:v>-</x:v>
      </x:c>
      <x:c r="F34" s="28" t="n">
        <x:v>0</x:v>
      </x:c>
      <x:c r="G34" s="22" t="str">
        <x:v>별도 견적</x:v>
      </x:c>
      <x:c r="H34" s="22" t="str">
        <x:v>확인</x:v>
      </x:c>
      <x:c r="I34" s="22" t="str">
        <x:v>확인</x:v>
      </x:c>
      <x:c r="J34" s="22" t="str">
        <x:v>전 직원 PDF+현장4세트만 출력</x:v>
      </x:c>
      <x:c r="K34" s="22" t="str"/>
    </x:row>
    <x:row r="37" ht="24" customHeight="1">
      <x:c r="A37" s="26" t="str">
        <x:v>7-7. 종이 쿠폰·별도 리플렛</x:v>
      </x:c>
    </x:row>
    <x:row r="38">
      <x:c r="A38" s="18" t="str">
        <x:v>품목</x:v>
      </x:c>
      <x:c r="B38" s="18" t="str">
        <x:v>처리 방식</x:v>
      </x:c>
      <x:c r="C38" s="18" t="str">
        <x:v>기준 회사</x:v>
      </x:c>
      <x:c r="D38" s="18" t="str">
        <x:v>공개가격</x:v>
      </x:c>
      <x:c r="E38" s="18" t="str">
        <x:v>수량</x:v>
      </x:c>
      <x:c r="F38" s="18" t="str">
        <x:v>계산</x:v>
      </x:c>
      <x:c r="G38" s="18" t="str">
        <x:v>반영액</x:v>
      </x:c>
      <x:c r="H38" s="18" t="str">
        <x:v>상태</x:v>
      </x:c>
      <x:c r="I38" s="18" t="str">
        <x:v>이유</x:v>
      </x:c>
      <x:c r="J38" s="18" t="str">
        <x:v>중복 방지</x:v>
      </x:c>
      <x:c r="K38" s="18" t="str">
        <x:v>출처</x:v>
      </x:c>
    </x:row>
    <x:row r="39">
      <x:c r="A39" s="22" t="str">
        <x:v>종이 할인쿠폰</x:v>
      </x:c>
      <x:c r="B39" s="22" t="str">
        <x:v>QR 결과페이지 내 1회용 쿠폰</x:v>
      </x:c>
      <x:c r="C39" s="22" t="str">
        <x:v>미제작</x:v>
      </x:c>
      <x:c r="D39" s="22" t="str">
        <x:v>-</x:v>
      </x:c>
      <x:c r="E39" s="22" t="n">
        <x:v>0</x:v>
      </x:c>
      <x:c r="F39" s="22" t="str">
        <x:v>-</x:v>
      </x:c>
      <x:c r="G39" s="28" t="n">
        <x:v>0</x:v>
      </x:c>
      <x:c r="H39" s="22" t="str">
        <x:v>미제작</x:v>
      </x:c>
      <x:c r="I39" s="22" t="str">
        <x:v>디지털 쿠폰 통합</x:v>
      </x:c>
      <x:c r="J39" s="22" t="str">
        <x:v>6번 QR 웹</x:v>
      </x:c>
      <x:c r="K39" s="22" t="str"/>
      <x:c r="L39" t="str"/>
    </x:row>
    <x:row r="40">
      <x:c r="A40" s="22" t="str">
        <x:v>별도 브랜드 리플렛</x:v>
      </x:c>
      <x:c r="B40" s="22" t="str">
        <x:v>루틴 팸플릿에 브랜드·제품정보 포함</x:v>
      </x:c>
      <x:c r="C40" s="22" t="str">
        <x:v>미제작</x:v>
      </x:c>
      <x:c r="D40" s="22" t="str">
        <x:v>-</x:v>
      </x:c>
      <x:c r="E40" s="22" t="n">
        <x:v>0</x:v>
      </x:c>
      <x:c r="F40" s="22" t="str">
        <x:v>-</x:v>
      </x:c>
      <x:c r="G40" s="28" t="n">
        <x:v>0</x:v>
      </x:c>
      <x:c r="H40" s="22" t="str">
        <x:v>미제작</x:v>
      </x:c>
      <x:c r="I40" s="22" t="str">
        <x:v>팸플릿과 기능 통합</x:v>
      </x:c>
      <x:c r="J40" s="22" t="str">
        <x:v>7-1과 중복 방지</x:v>
      </x:c>
      <x:c r="K40" s="22" t="str"/>
      <x:c r="L40" t="str"/>
    </x:row>
    <x:row r="43" ht="24" customHeight="1">
      <x:c r="A43" s="26" t="str">
        <x:v>7-8. 묶음 발주 방향</x:v>
      </x:c>
    </x:row>
    <x:row r="44">
      <x:c r="A44" s="18" t="str">
        <x:v>업체</x:v>
      </x:c>
      <x:c r="B44" s="18" t="str">
        <x:v>묶음 품목</x:v>
      </x:c>
      <x:c r="C44" s="18" t="str">
        <x:v>선정 이유</x:v>
      </x:c>
      <x:c r="D44" s="18" t="str">
        <x:v>가격 기준</x:v>
      </x:c>
      <x:c r="E44" s="18" t="str">
        <x:v>배송</x:v>
      </x:c>
      <x:c r="F44" s="18" t="str">
        <x:v>VAT</x:v>
      </x:c>
      <x:c r="G44" s="18" t="str">
        <x:v>제작기간</x:v>
      </x:c>
      <x:c r="H44" s="18" t="str">
        <x:v>최종 확인</x:v>
      </x:c>
      <x:c r="I44" s="18" t="str">
        <x:v>상태</x:v>
      </x:c>
      <x:c r="J44" s="18" t="str">
        <x:v>URL</x:v>
      </x:c>
      <x:c r="K44" s="18" t="str">
        <x:v>비고</x:v>
      </x:c>
    </x:row>
    <x:row r="45">
      <x:c r="A45" s="22" t="str">
        <x:v>나눔인쇄</x:v>
      </x:c>
      <x:c r="B45" s="22" t="str">
        <x:v>A4 3단 루틴 팸플릿</x:v>
      </x:c>
      <x:c r="C45" s="22" t="str">
        <x:v>3,000부까지 수량별 가격·용지·접지비 명확</x:v>
      </x:c>
      <x:c r="D45" s="22" t="str">
        <x:v>3,000부 277,000원</x:v>
      </x:c>
      <x:c r="E45" s="22" t="str">
        <x:v>별도</x:v>
      </x:c>
      <x:c r="F45" s="22" t="str">
        <x:v>별도</x:v>
      </x:c>
      <x:c r="G45" s="22" t="str">
        <x:v>평균2~3일</x:v>
      </x:c>
      <x:c r="H45" s="22" t="str">
        <x:v>3,100부 정확가</x:v>
      </x:c>
      <x:c r="I45" s="22" t="str">
        <x:v>1차 기준</x:v>
      </x:c>
      <x:c r="J45" s="22" t="str">
        <x:v>https://www.nanumprinting.co.kr/estimate/EasyEstimate?gb=leaflet</x:v>
      </x:c>
      <x:c r="K45" s="22" t="str"/>
    </x:row>
    <x:row r="46">
      <x:c r="A46" s="22" t="str">
        <x:v>레드프린팅</x:v>
      </x:c>
      <x:c r="B46" s="22" t="str">
        <x:v>스티커+카드+포스터+명찰+바인더</x:v>
      </x:c>
      <x:c r="C46" s="22" t="str">
        <x:v>여러 제작물 카테고리 통합 가능</x:v>
      </x:c>
      <x:c r="D46" s="22" t="str">
        <x:v>품목별 공개가격</x:v>
      </x:c>
      <x:c r="E46" s="22" t="str">
        <x:v>합배송 확인</x:v>
      </x:c>
      <x:c r="F46" s="22" t="str">
        <x:v>확인</x:v>
      </x:c>
      <x:c r="G46" s="22" t="str">
        <x:v>품목별 상이</x:v>
      </x:c>
      <x:c r="H46" s="22" t="str">
        <x:v>합배송/배송비</x:v>
      </x:c>
      <x:c r="I46" s="22" t="str">
        <x:v>1차 기준</x:v>
      </x:c>
      <x:c r="J46" s="22" t="str">
        <x:v>https://redprinting.co.kr/ko/product/item/AC/ACPDPIN</x:v>
      </x:c>
      <x:c r="K46" s="22" t="str"/>
    </x:row>
    <x:row r="49" ht="24" customHeight="1">
      <x:c r="A49" s="26" t="str">
        <x:v>7-9. 7번 최종 정리</x:v>
      </x:c>
    </x:row>
    <x:row r="50">
      <x:c r="A50" s="18" t="str">
        <x:v>품목</x:v>
      </x:c>
      <x:c r="B50" s="18" t="str">
        <x:v>기준 업체</x:v>
      </x:c>
      <x:c r="C50" s="18" t="str">
        <x:v>현재 반영액</x:v>
      </x:c>
      <x:c r="D50" s="18" t="str">
        <x:v>미반영/추가</x:v>
      </x:c>
      <x:c r="E50" s="18" t="str">
        <x:v>상태</x:v>
      </x:c>
      <x:c r="F50" s="18" t="str">
        <x:v>비고</x:v>
      </x:c>
      <x:c r="G50" s="18" t="str">
        <x:v>출처</x:v>
      </x:c>
      <x:c r="H50" s="18" t="str">
        <x:v>담당</x:v>
      </x:c>
      <x:c r="I50" s="18" t="str">
        <x:v>완료</x:v>
      </x:c>
      <x:c r="J50" s="18" t="str">
        <x:v>발주처</x:v>
      </x:c>
      <x:c r="K50" s="18" t="str">
        <x:v>메모</x:v>
      </x:c>
    </x:row>
    <x:row r="51">
      <x:c r="A51" s="22" t="str">
        <x:v>루틴 팸플릿</x:v>
      </x:c>
      <x:c r="B51" s="22" t="str">
        <x:v>나눔인쇄</x:v>
      </x:c>
      <x:c r="C51" s="28" t="n">
        <x:v>277000</x:v>
      </x:c>
      <x:c r="D51" s="22" t="str">
        <x:v>추가100부+VAT+배송</x:v>
      </x:c>
      <x:c r="E51" s="22" t="str">
        <x:v>일부 공개가격</x:v>
      </x:c>
      <x:c r="F51" s="22" t="str"/>
      <x:c r="G51" s="22" t="str"/>
      <x:c r="H51" s="22" t="str"/>
      <x:c r="I51" s="22" t="str"/>
      <x:c r="J51" s="22" t="str"/>
      <x:c r="K51" s="22" t="str"/>
    </x:row>
    <x:row r="52">
      <x:c r="A52" s="22" t="str">
        <x:v>제품 스티커</x:v>
      </x:c>
      <x:c r="B52" s="22" t="str">
        <x:v>레드프린팅</x:v>
      </x:c>
      <x:c r="C52" s="28" t="n">
        <x:v>576000</x:v>
      </x:c>
      <x:c r="D52" s="22" t="str">
        <x:v>규격 확정 후 변동 가능</x:v>
      </x:c>
      <x:c r="E52" s="22" t="str">
        <x:v>공개가격 계산</x:v>
      </x:c>
      <x:c r="F52" s="22" t="str"/>
      <x:c r="G52" s="22" t="str"/>
      <x:c r="H52" s="22" t="str"/>
      <x:c r="I52" s="22" t="str"/>
      <x:c r="J52" s="22" t="str"/>
      <x:c r="K52" s="22" t="str"/>
    </x:row>
    <x:row r="53">
      <x:c r="A53" s="22" t="str">
        <x:v>제품 정보카드</x:v>
      </x:c>
      <x:c r="B53" s="22" t="str">
        <x:v>레드프린팅</x:v>
      </x:c>
      <x:c r="C53" s="28" t="n">
        <x:v>12400</x:v>
      </x:c>
      <x:c r="D53" s="22" t="str">
        <x:v>VAT/배송</x:v>
      </x:c>
      <x:c r="E53" s="22" t="str">
        <x:v>공개가격</x:v>
      </x:c>
      <x:c r="F53" s="22" t="str"/>
      <x:c r="G53" s="22" t="str"/>
      <x:c r="H53" s="22" t="str"/>
      <x:c r="I53" s="22" t="str"/>
      <x:c r="J53" s="22" t="str"/>
      <x:c r="K53" s="22" t="str"/>
    </x:row>
    <x:row r="54">
      <x:c r="A54" s="22" t="str">
        <x:v>A1 운영 포스터</x:v>
      </x:c>
      <x:c r="B54" s="22" t="str">
        <x:v>레드프린팅</x:v>
      </x:c>
      <x:c r="C54" s="28" t="n">
        <x:v>38000</x:v>
      </x:c>
      <x:c r="D54" s="22" t="str">
        <x:v>VAT/배송</x:v>
      </x:c>
      <x:c r="E54" s="22" t="str">
        <x:v>공개가격</x:v>
      </x:c>
      <x:c r="F54" s="22" t="str"/>
      <x:c r="G54" s="22" t="str"/>
      <x:c r="H54" s="22" t="str"/>
      <x:c r="I54" s="22" t="str"/>
      <x:c r="J54" s="22" t="str"/>
      <x:c r="K54" s="22" t="str"/>
    </x:row>
    <x:row r="55">
      <x:c r="A55" s="22" t="str">
        <x:v>직원 명찰</x:v>
      </x:c>
      <x:c r="B55" s="22" t="str">
        <x:v>레드프린팅</x:v>
      </x:c>
      <x:c r="C55" s="28" t="n">
        <x:v>75900</x:v>
      </x:c>
      <x:c r="D55" s="22" t="str">
        <x:v>VAT/배송</x:v>
      </x:c>
      <x:c r="E55" s="22" t="str">
        <x:v>공개가격</x:v>
      </x:c>
      <x:c r="F55" s="22" t="str"/>
      <x:c r="G55" s="22" t="str"/>
      <x:c r="H55" s="22" t="str"/>
      <x:c r="I55" s="22" t="str"/>
      <x:c r="J55" s="22" t="str"/>
      <x:c r="K55" s="22" t="str"/>
    </x:row>
    <x:row r="56">
      <x:c r="A56" s="22" t="str">
        <x:v>운영 바인더</x:v>
      </x:c>
      <x:c r="B56" s="22" t="str">
        <x:v>레드프린팅</x:v>
      </x:c>
      <x:c r="C56" s="28" t="n">
        <x:v>48400</x:v>
      </x:c>
      <x:c r="D56" s="22" t="str">
        <x:v>매뉴얼 내지</x:v>
      </x:c>
      <x:c r="E56" s="22" t="str">
        <x:v>공개 시작가</x:v>
      </x:c>
      <x:c r="F56" s="22" t="str"/>
      <x:c r="G56" s="22" t="str"/>
      <x:c r="H56" s="22" t="str"/>
      <x:c r="I56" s="22" t="str"/>
      <x:c r="J56" s="22" t="str"/>
      <x:c r="K56" s="22" t="str"/>
    </x:row>
    <x:row r="57">
      <x:c r="A57" s="22" t="str">
        <x:v>종이 쿠폰</x:v>
      </x:c>
      <x:c r="B57" s="22" t="str">
        <x:v>미제작</x:v>
      </x:c>
      <x:c r="C57" s="28" t="n">
        <x:v>0</x:v>
      </x:c>
      <x:c r="D57" s="22" t="str"/>
      <x:c r="E57" s="22" t="str">
        <x:v>미제작</x:v>
      </x:c>
      <x:c r="F57" s="22" t="str"/>
      <x:c r="G57" s="22" t="str"/>
      <x:c r="H57" s="22" t="str"/>
      <x:c r="I57" s="22" t="str"/>
      <x:c r="J57" s="22" t="str"/>
      <x:c r="K57" s="22" t="str"/>
    </x:row>
    <x:row r="58">
      <x:c r="A58" s="22" t="str">
        <x:v>별도 리플렛</x:v>
      </x:c>
      <x:c r="B58" s="22" t="str">
        <x:v>미제작</x:v>
      </x:c>
      <x:c r="C58" s="28" t="n">
        <x:v>0</x:v>
      </x:c>
      <x:c r="D58" s="22" t="str"/>
      <x:c r="E58" s="22" t="str">
        <x:v>미제작</x:v>
      </x:c>
      <x:c r="F58" s="22" t="str"/>
      <x:c r="G58" s="22" t="str"/>
      <x:c r="H58" s="22" t="str"/>
      <x:c r="I58" s="22" t="str"/>
      <x:c r="J58" s="22" t="str"/>
      <x:c r="K58" s="22" t="str"/>
    </x:row>
    <x:row r="60">
      <x:c r="A60" s="30" t="str">
        <x:v>7번 현재 공개가격 기준 소계</x:v>
      </x:c>
      <x:c r="B60" s="30"/>
      <x:c r="C60" s="32" t="n">
        <x:f>SUM(C51:C58)</x:f>
        <x:v>1027700</x:v>
      </x:c>
      <x:c r="D60" s="30"/>
      <x:c r="E60" s="30"/>
      <x:c r="F60" s="30"/>
      <x:c r="G60" s="30"/>
      <x:c r="H60" s="30"/>
      <x:c r="I60" s="30"/>
      <x:c r="J60" s="30"/>
      <x:c r="K60" s="30"/>
    </x:row>
  </x:sheetData>
  <x:mergeCells>
    <x:mergeCell ref="A1:K1"/>
    <x:mergeCell ref="A3:K3"/>
    <x:mergeCell ref="A5:K5"/>
    <x:mergeCell ref="A10:K10"/>
    <x:mergeCell ref="A14:K14"/>
    <x:mergeCell ref="A16:K16"/>
    <x:mergeCell ref="A21:K21"/>
    <x:mergeCell ref="A26:K26"/>
    <x:mergeCell ref="A31:K31"/>
    <x:mergeCell ref="A37:K37"/>
    <x:mergeCell ref="A43:K43"/>
    <x:mergeCell ref="A49:K49"/>
    <x:mergeCell ref="A60:B6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30" hidden="0" customWidth="1"/>
    <x:col min="5" max="5" width="20" hidden="0" customWidth="1"/>
    <x:col min="6" max="6" width="24" hidden="0" customWidth="1"/>
    <x:col min="7" max="7" width="28" hidden="0" customWidth="1"/>
    <x:col min="8" max="8" width="30" hidden="0" customWidth="1"/>
    <x:col min="9" max="9" width="14" hidden="0" customWidth="1"/>
    <x:col min="10" max="10" width="12" hidden="0" customWidth="1"/>
    <x:col min="11" max="11" width="28" hidden="0" customWidth="1"/>
  </x:cols>
  <x:sheetData>
    <x:row r="1" ht="30" customHeight="1">
      <x:c r="A1" s="4" t="str">
        <x:v>8. 샘플·테스터·위생 소모품비</x:v>
      </x:c>
    </x:row>
    <x:row r="3" ht="34" customHeight="1">
      <x:c r="A3" s="10" t="str">
        <x:v>가상의 LUNEA 제품 원가를 임의로 만들지 않는다. 공개가격 확인 가능한 위생 소모품만 숫자로 반영하고 샘플 OEM·테스터 원가는 별도 견적.</x:v>
      </x:c>
    </x:row>
    <x:row r="5" ht="24" customHeight="1">
      <x:c r="A5" s="26" t="str">
        <x:v>8-1. 고객 증정용 샘플</x:v>
      </x:c>
    </x:row>
    <x:row r="6">
      <x:c r="A6" s="18" t="str">
        <x:v>항목</x:v>
      </x:c>
      <x:c r="B6" s="18" t="str">
        <x:v>기준 업체</x:v>
      </x:c>
      <x:c r="C6" s="18" t="str">
        <x:v>제작 조건</x:v>
      </x:c>
      <x:c r="D6" s="18" t="str">
        <x:v>MOQ</x:v>
      </x:c>
      <x:c r="E6" s="18" t="str">
        <x:v>공개가격</x:v>
      </x:c>
      <x:c r="F6" s="18" t="str">
        <x:v>LUNEA 수량</x:v>
      </x:c>
      <x:c r="G6" s="18" t="str">
        <x:v>반영액</x:v>
      </x:c>
      <x:c r="H6" s="18" t="str">
        <x:v>상태</x:v>
      </x:c>
      <x:c r="I6" s="18" t="str">
        <x:v>판단</x:v>
      </x:c>
      <x:c r="J6" s="18" t="str">
        <x:v>추가 확인</x:v>
      </x:c>
      <x:c r="K6" s="18" t="str">
        <x:v>출처 URL</x:v>
      </x:c>
    </x:row>
    <x:row r="7">
      <x:c r="A7" s="22" t="str">
        <x:v>샘플 파우치 OEM</x:v>
      </x:c>
      <x:c r="B7" s="22" t="str">
        <x:v>코스메디크</x:v>
      </x:c>
      <x:c r="C7" s="22" t="str">
        <x:v>화장품 샘플 파우치 OEM/충진</x:v>
      </x:c>
      <x:c r="D7" s="22" t="str">
        <x:v>10,000개부터</x:v>
      </x:c>
      <x:c r="E7" s="22" t="str">
        <x:v>가격 비공개</x:v>
      </x:c>
      <x:c r="F7" s="22" t="n">
        <x:v>3100</x:v>
      </x:c>
      <x:c r="G7" s="28" t="n">
        <x:v>0</x:v>
      </x:c>
      <x:c r="H7" s="22" t="str">
        <x:v>별도 견적</x:v>
      </x:c>
      <x:c r="I7" s="22" t="str">
        <x:v>16종 전량 신규제작 비효율</x:v>
      </x:c>
      <x:c r="J7" s="22" t="str">
        <x:v>MOQ가 SKU별인지 총수량인지</x:v>
      </x:c>
      <x:c r="K7" s="22" t="str">
        <x:v>https://www.cmq.kr/default/02/menu02.php</x:v>
      </x:c>
    </x:row>
    <x:row r="8">
      <x:c r="A8" s="22" t="str">
        <x:v>소량 OEM 비교</x:v>
      </x:c>
      <x:c r="B8" s="22" t="str">
        <x:v>HWAJAE 화제</x:v>
      </x:c>
      <x:c r="C8" s="22" t="str">
        <x:v>기초화장품 OEM/ODM 제조사 연결</x:v>
      </x:c>
      <x:c r="D8" s="22" t="str">
        <x:v>1,000개부터 가능한 제조사</x:v>
      </x:c>
      <x:c r="E8" s="22" t="str">
        <x:v>제품별 견적</x:v>
      </x:c>
      <x:c r="F8" s="22" t="n">
        <x:v>3100</x:v>
      </x:c>
      <x:c r="G8" s="28" t="n">
        <x:v>0</x:v>
      </x:c>
      <x:c r="H8" s="22" t="str">
        <x:v>별도 견적</x:v>
      </x:c>
      <x:c r="I8" s="22" t="str">
        <x:v>소량 제조 비교용</x:v>
      </x:c>
      <x:c r="J8" s="22" t="str">
        <x:v>용기·충진·인쇄 포함범위</x:v>
      </x:c>
      <x:c r="K8" s="22" t="str">
        <x:v>https://hwajae.kr/</x:v>
      </x:c>
    </x:row>
    <x:row r="9">
      <x:c r="A9" s="22" t="str">
        <x:v>빈 용기 비교</x:v>
      </x:c>
      <x:c r="B9" s="22" t="str">
        <x:v>Sea Spatula</x:v>
      </x:c>
      <x:c r="C9" s="22" t="str">
        <x:v>화장품 용기·부자재</x:v>
      </x:c>
      <x:c r="D9" s="22" t="str">
        <x:v>100개부터</x:v>
      </x:c>
      <x:c r="E9" s="22" t="str">
        <x:v>품목별 공개/견적</x:v>
      </x:c>
      <x:c r="F9" s="22" t="n">
        <x:v>3100</x:v>
      </x:c>
      <x:c r="G9" s="28" t="n">
        <x:v>0</x:v>
      </x:c>
      <x:c r="H9" s="22" t="str">
        <x:v>참고</x:v>
      </x:c>
      <x:c r="I9" s="22" t="str">
        <x:v>내용물 충진 별도</x:v>
      </x:c>
      <x:c r="J9" s="22" t="str">
        <x:v>포장방식 결정 후 확인</x:v>
      </x:c>
      <x:c r="K9" s="22" t="str"/>
    </x:row>
    <x:row r="11" ht="34" customHeight="1">
      <x:c r="A11" s="38" t="str">
        <x:v>운영 방향: 기존 브랜드 샘플 재고 활용 → 소량 OEM → 신규 10,000개 파우치 제작 순으로 비교. 16종×10,000개가 되면 과잉생산 우려.</x:v>
      </x:c>
    </x:row>
    <x:row r="13" ht="24" customHeight="1">
      <x:c r="A13" s="26" t="str">
        <x:v>8-2. 체험용 테스터</x:v>
      </x:c>
    </x:row>
    <x:row r="14">
      <x:c r="A14" s="18" t="str">
        <x:v>항목</x:v>
      </x:c>
      <x:c r="B14" s="18" t="str">
        <x:v>대상</x:v>
      </x:c>
      <x:c r="C14" s="18" t="str">
        <x:v>기준</x:v>
      </x:c>
      <x:c r="D14" s="18" t="str">
        <x:v>수량</x:v>
      </x:c>
      <x:c r="E14" s="18" t="str">
        <x:v>사용량 산정</x:v>
      </x:c>
      <x:c r="F14" s="18" t="str">
        <x:v>반영액</x:v>
      </x:c>
      <x:c r="G14" s="18" t="str">
        <x:v>상태</x:v>
      </x:c>
      <x:c r="H14" s="18" t="str">
        <x:v>이유</x:v>
      </x:c>
      <x:c r="I14" s="18" t="str">
        <x:v>추가 확인</x:v>
      </x:c>
      <x:c r="J14" s="18" t="str">
        <x:v>가격 기준</x:v>
      </x:c>
      <x:c r="K14" s="18" t="str">
        <x:v>출처</x:v>
      </x:c>
    </x:row>
    <x:row r="15">
      <x:c r="A15" s="22" t="str">
        <x:v>16종 제품 테스터</x:v>
      </x:c>
      <x:c r="B15" s="22" t="str">
        <x:v>스킨·로션·앰플·크림×4라인</x:v>
      </x:c>
      <x:c r="C15" s="22" t="str">
        <x:v>LUNEA 실제 제품 제조원가</x:v>
      </x:c>
      <x:c r="D15" s="22" t="n">
        <x:v>16</x:v>
      </x:c>
      <x:c r="E15" s="22" t="str">
        <x:v>제품용량×1회사용량×체험인원</x:v>
      </x:c>
      <x:c r="F15" s="28" t="n">
        <x:v>0</x:v>
      </x:c>
      <x:c r="G15" s="22" t="str">
        <x:v>제품 원가 확인</x:v>
      </x:c>
      <x:c r="H15" s="22" t="str">
        <x:v>가상 브랜드 원가 임의산정 금지</x:v>
      </x:c>
      <x:c r="I15" s="22" t="str">
        <x:v>OEM 원가/1회사용량</x:v>
      </x:c>
      <x:c r="J15" s="22" t="str">
        <x:v>실제 OEM 견적</x:v>
      </x:c>
      <x:c r="K15" s="22" t="str"/>
    </x:row>
    <x:row r="16">
      <x:c r="A16" s="22" t="str">
        <x:v>예비 테스터</x:v>
      </x:c>
      <x:c r="B16" s="22" t="str">
        <x:v>교체·오염·소진 대비</x:v>
      </x:c>
      <x:c r="C16" s="22" t="str">
        <x:v>동일 제품원가</x:v>
      </x:c>
      <x:c r="D16" s="22" t="n">
        <x:v>16</x:v>
      </x:c>
      <x:c r="E16" s="22" t="str">
        <x:v>예상 소진량+예비</x:v>
      </x:c>
      <x:c r="F16" s="28" t="n">
        <x:v>0</x:v>
      </x:c>
      <x:c r="G16" s="22" t="str">
        <x:v>제품 원가 확인</x:v>
      </x:c>
      <x:c r="H16" s="22" t="str"/>
      <x:c r="I16" s="22" t="str">
        <x:v>예비율</x:v>
      </x:c>
      <x:c r="J16" s="22" t="str">
        <x:v>실제 OEM 견적</x:v>
      </x:c>
      <x:c r="K16" s="22" t="str"/>
    </x:row>
    <x:row r="17">
      <x:c r="A17" s="22" t="str">
        <x:v>리필</x:v>
      </x:c>
      <x:c r="B17" s="22" t="str">
        <x:v>운영 중 소진분</x:v>
      </x:c>
      <x:c r="C17" s="22" t="str">
        <x:v>동일 제품원가</x:v>
      </x:c>
      <x:c r="D17" s="22" t="n">
        <x:v>1</x:v>
      </x:c>
      <x:c r="E17" s="22" t="str">
        <x:v>실사용 기준</x:v>
      </x:c>
      <x:c r="F17" s="28" t="n">
        <x:v>0</x:v>
      </x:c>
      <x:c r="G17" s="22" t="str">
        <x:v>제품 원가 확인</x:v>
      </x:c>
      <x:c r="H17" s="22" t="str"/>
      <x:c r="I17" s="22" t="str">
        <x:v>운영방식</x:v>
      </x:c>
      <x:c r="J17" s="22" t="str">
        <x:v>실제 OEM 견적</x:v>
      </x:c>
      <x:c r="K17" s="22" t="str"/>
    </x:row>
    <x:row r="20" ht="24" customHeight="1">
      <x:c r="A20" s="26" t="str">
        <x:v>8-3. 일회용 테스트 도구</x:v>
      </x:c>
    </x:row>
    <x:row r="21">
      <x:c r="A21" s="18" t="str">
        <x:v>항목</x:v>
      </x:c>
      <x:c r="B21" s="18" t="str">
        <x:v>기준 회사/상품</x:v>
      </x:c>
      <x:c r="C21" s="18" t="str">
        <x:v>공개가격</x:v>
      </x:c>
      <x:c r="D21" s="18" t="str">
        <x:v>필요수량</x:v>
      </x:c>
      <x:c r="E21" s="18" t="str">
        <x:v>계산</x:v>
      </x:c>
      <x:c r="F21" s="18" t="str">
        <x:v>반영액</x:v>
      </x:c>
      <x:c r="G21" s="18" t="str">
        <x:v>상태</x:v>
      </x:c>
      <x:c r="H21" s="18" t="str">
        <x:v>배송</x:v>
      </x:c>
      <x:c r="I21" s="18" t="str">
        <x:v>용도</x:v>
      </x:c>
      <x:c r="J21" s="18" t="str">
        <x:v>주의</x:v>
      </x:c>
      <x:c r="K21" s="18" t="str">
        <x:v>출처 URL</x:v>
      </x:c>
    </x:row>
    <x:row r="22">
      <x:c r="A22" s="22" t="str">
        <x:v>일회용 우드 스파츌라</x:v>
      </x:c>
      <x:c r="B22" s="22" t="str">
        <x:v>디트리홈 / 1,000개</x:v>
      </x:c>
      <x:c r="C22" s="22" t="str">
        <x:v>15,900원/1,000개</x:v>
      </x:c>
      <x:c r="D22" s="22" t="n">
        <x:v>13000</x:v>
      </x:c>
      <x:c r="E22" s="22" t="str">
        <x:v>13팩×15,900</x:v>
      </x:c>
      <x:c r="F22" s="28" t="n">
        <x:v>206700</x:v>
      </x:c>
      <x:c r="G22" s="22" t="str">
        <x:v>공개가격 계산</x:v>
      </x:c>
      <x:c r="H22" s="22" t="str">
        <x:v>판매조건 확인</x:v>
      </x:c>
      <x:c r="I22" s="22" t="str">
        <x:v>고객1명당4개 테스트</x:v>
      </x:c>
      <x:c r="J22" s="22" t="str">
        <x:v>길이·폭 샘플확인</x:v>
      </x:c>
      <x:c r="K22" s="22" t="str"/>
    </x:row>
    <x:row r="25" ht="24" customHeight="1">
      <x:c r="A25" s="26" t="str">
        <x:v>8-4. 화장솜</x:v>
      </x:c>
    </x:row>
    <x:row r="26">
      <x:c r="A26" s="18" t="str">
        <x:v>항목</x:v>
      </x:c>
      <x:c r="B26" s="18" t="str">
        <x:v>기준 회사/상품</x:v>
      </x:c>
      <x:c r="C26" s="18" t="str">
        <x:v>공개가격</x:v>
      </x:c>
      <x:c r="D26" s="18" t="str">
        <x:v>필요수량</x:v>
      </x:c>
      <x:c r="E26" s="18" t="str">
        <x:v>계산</x:v>
      </x:c>
      <x:c r="F26" s="18" t="str">
        <x:v>반영액</x:v>
      </x:c>
      <x:c r="G26" s="18" t="str">
        <x:v>상태</x:v>
      </x:c>
      <x:c r="H26" s="18" t="str">
        <x:v>배송</x:v>
      </x:c>
      <x:c r="I26" s="18" t="str">
        <x:v>용도</x:v>
      </x:c>
      <x:c r="J26" s="18" t="str">
        <x:v>주의</x:v>
      </x:c>
      <x:c r="K26" s="18" t="str">
        <x:v>출처 URL</x:v>
      </x:c>
    </x:row>
    <x:row r="27">
      <x:c r="A27" s="22" t="str">
        <x:v>대용량 화장솜</x:v>
      </x:c>
      <x:c r="B27" s="22" t="str">
        <x:v>엔터네일 / 1,000매</x:v>
      </x:c>
      <x:c r="C27" s="22" t="str">
        <x:v>7,000원/1,000매</x:v>
      </x:c>
      <x:c r="D27" s="22" t="n">
        <x:v>4000</x:v>
      </x:c>
      <x:c r="E27" s="22" t="str">
        <x:v>4팩×7,000+배송3,000</x:v>
      </x:c>
      <x:c r="F27" s="28" t="n">
        <x:v>31000</x:v>
      </x:c>
      <x:c r="G27" s="22" t="str">
        <x:v>공개가격 계산</x:v>
      </x:c>
      <x:c r="H27" s="22" t="str">
        <x:v>배송3,000원 가정</x:v>
      </x:c>
      <x:c r="I27" s="22" t="str">
        <x:v>제품 닦음/피부정리</x:v>
      </x:c>
      <x:c r="J27" s="22" t="str">
        <x:v>무료배송 가능 여부</x:v>
      </x:c>
      <x:c r="K27" s="22" t="str"/>
    </x:row>
    <x:row r="30" ht="24" customHeight="1">
      <x:c r="A30" s="26" t="str">
        <x:v>8-5. 알코올솜</x:v>
      </x:c>
    </x:row>
    <x:row r="31">
      <x:c r="A31" s="18" t="str">
        <x:v>항목</x:v>
      </x:c>
      <x:c r="B31" s="18" t="str">
        <x:v>기준 회사/상품</x:v>
      </x:c>
      <x:c r="C31" s="18" t="str">
        <x:v>공개가격</x:v>
      </x:c>
      <x:c r="D31" s="18" t="str">
        <x:v>필요수량</x:v>
      </x:c>
      <x:c r="E31" s="18" t="str">
        <x:v>계산</x:v>
      </x:c>
      <x:c r="F31" s="18" t="str">
        <x:v>반영액</x:v>
      </x:c>
      <x:c r="G31" s="18" t="str">
        <x:v>상태</x:v>
      </x:c>
      <x:c r="H31" s="18" t="str">
        <x:v>배송</x:v>
      </x:c>
      <x:c r="I31" s="18" t="str">
        <x:v>용도</x:v>
      </x:c>
      <x:c r="J31" s="18" t="str">
        <x:v>주의</x:v>
      </x:c>
      <x:c r="K31" s="18" t="str">
        <x:v>출처 URL</x:v>
      </x:c>
    </x:row>
    <x:row r="32">
      <x:c r="A32" s="22" t="str">
        <x:v>개별포장 알코올솜</x:v>
      </x:c>
      <x:c r="B32" s="22" t="str">
        <x:v>지오메드 판매 / 100매</x:v>
      </x:c>
      <x:c r="C32" s="22" t="str">
        <x:v>1,700원/100매</x:v>
      </x:c>
      <x:c r="D32" s="22" t="n">
        <x:v>3100</x:v>
      </x:c>
      <x:c r="E32" s="22" t="str">
        <x:v>31팩×1,700+배송3,300</x:v>
      </x:c>
      <x:c r="F32" s="28" t="n">
        <x:v>56000</x:v>
      </x:c>
      <x:c r="G32" s="22" t="str">
        <x:v>공개가격 계산</x:v>
      </x:c>
      <x:c r="H32" s="22" t="str">
        <x:v>배송3,300원</x:v>
      </x:c>
      <x:c r="I32" s="22" t="str">
        <x:v>기기·테이블 소독</x:v>
      </x:c>
      <x:c r="J32" s="22" t="str">
        <x:v>실제 소독기준 확인</x:v>
      </x:c>
      <x:c r="K32" s="22" t="str"/>
    </x:row>
    <x:row r="35" ht="24" customHeight="1">
      <x:c r="A35" s="26" t="str">
        <x:v>8-6. 손소독제</x:v>
      </x:c>
    </x:row>
    <x:row r="36">
      <x:c r="A36" s="18" t="str">
        <x:v>항목</x:v>
      </x:c>
      <x:c r="B36" s="18" t="str">
        <x:v>기준 회사/상품</x:v>
      </x:c>
      <x:c r="C36" s="18" t="str">
        <x:v>공개가격</x:v>
      </x:c>
      <x:c r="D36" s="18" t="str">
        <x:v>필요수량</x:v>
      </x:c>
      <x:c r="E36" s="18" t="str">
        <x:v>계산</x:v>
      </x:c>
      <x:c r="F36" s="18" t="str">
        <x:v>반영액</x:v>
      </x:c>
      <x:c r="G36" s="18" t="str">
        <x:v>상태</x:v>
      </x:c>
      <x:c r="H36" s="18" t="str">
        <x:v>배송</x:v>
      </x:c>
      <x:c r="I36" s="18" t="str">
        <x:v>용도</x:v>
      </x:c>
      <x:c r="J36" s="18" t="str">
        <x:v>주의</x:v>
      </x:c>
      <x:c r="K36" s="18" t="str">
        <x:v>출처 URL</x:v>
      </x:c>
    </x:row>
    <x:row r="37">
      <x:c r="A37" s="22" t="str">
        <x:v>에탄올70% 손소독제</x:v>
      </x:c>
      <x:c r="B37" s="22" t="str">
        <x:v>에스원제약 / 500ml</x:v>
      </x:c>
      <x:c r="C37" s="22" t="str">
        <x:v>10개 37,200원</x:v>
      </x:c>
      <x:c r="D37" s="22" t="n">
        <x:v>10</x:v>
      </x:c>
      <x:c r="E37" s="22" t="str">
        <x:v>1세트</x:v>
      </x:c>
      <x:c r="F37" s="28" t="n">
        <x:v>37200</x:v>
      </x:c>
      <x:c r="G37" s="22" t="str">
        <x:v>공개가격</x:v>
      </x:c>
      <x:c r="H37" s="22" t="str">
        <x:v>판매조건 확인</x:v>
      </x:c>
      <x:c r="I37" s="22" t="str">
        <x:v>입구·진단·루틴·완성존</x:v>
      </x:c>
      <x:c r="J37" s="22" t="str">
        <x:v>소진량 모니터링</x:v>
      </x:c>
      <x:c r="K37" s="22" t="str"/>
    </x:row>
    <x:row r="40" ht="24" customHeight="1">
      <x:c r="A40" s="26" t="str">
        <x:v>8-7. 8번 최종 정리</x:v>
      </x:c>
    </x:row>
    <x:row r="41">
      <x:c r="A41" s="18" t="str">
        <x:v>품목</x:v>
      </x:c>
      <x:c r="B41" s="18" t="str">
        <x:v>기준 업체</x:v>
      </x:c>
      <x:c r="C41" s="18" t="str">
        <x:v>반영액</x:v>
      </x:c>
      <x:c r="D41" s="18" t="str">
        <x:v>미반영 비용</x:v>
      </x:c>
      <x:c r="E41" s="18" t="str">
        <x:v>상태</x:v>
      </x:c>
      <x:c r="F41" s="18" t="str">
        <x:v>비고</x:v>
      </x:c>
      <x:c r="G41" s="18" t="str">
        <x:v>가격근거</x:v>
      </x:c>
      <x:c r="H41" s="18" t="str">
        <x:v>추가 액션</x:v>
      </x:c>
      <x:c r="I41" s="18" t="str">
        <x:v>담당</x:v>
      </x:c>
      <x:c r="J41" s="18" t="str">
        <x:v>완료</x:v>
      </x:c>
      <x:c r="K41" s="18" t="str">
        <x:v>메모</x:v>
      </x:c>
    </x:row>
    <x:row r="42">
      <x:c r="A42" s="22" t="str">
        <x:v>고객 증정 샘플</x:v>
      </x:c>
      <x:c r="B42" s="22" t="str">
        <x:v>코스메디크/HWAJAE</x:v>
      </x:c>
      <x:c r="C42" s="28" t="n">
        <x:v>0</x:v>
      </x:c>
      <x:c r="D42" s="22" t="str">
        <x:v>샘플 OEM 제조비</x:v>
      </x:c>
      <x:c r="E42" s="22" t="str">
        <x:v>별도 견적</x:v>
      </x:c>
      <x:c r="F42" s="22" t="str"/>
      <x:c r="G42" s="22" t="str">
        <x:v>가격 비공개</x:v>
      </x:c>
      <x:c r="H42" s="22" t="str">
        <x:v>3,100명분 조건 견적</x:v>
      </x:c>
      <x:c r="I42" s="22" t="str"/>
      <x:c r="J42" s="22" t="str"/>
      <x:c r="K42" s="22" t="str"/>
    </x:row>
    <x:row r="43">
      <x:c r="A43" s="22" t="str">
        <x:v>16종 테스터</x:v>
      </x:c>
      <x:c r="B43" s="22" t="str">
        <x:v>실제 OEM</x:v>
      </x:c>
      <x:c r="C43" s="28" t="n">
        <x:v>0</x:v>
      </x:c>
      <x:c r="D43" s="22" t="str">
        <x:v>제품원가/리필</x:v>
      </x:c>
      <x:c r="E43" s="22" t="str">
        <x:v>제품 원가 확인</x:v>
      </x:c>
      <x:c r="F43" s="22" t="str"/>
      <x:c r="G43" s="22" t="str">
        <x:v>가상 브랜드</x:v>
      </x:c>
      <x:c r="H43" s="22" t="str">
        <x:v>실제 제조원가 확인</x:v>
      </x:c>
      <x:c r="I43" s="22" t="str"/>
      <x:c r="J43" s="22" t="str"/>
      <x:c r="K43" s="22" t="str"/>
    </x:row>
    <x:row r="44">
      <x:c r="A44" s="22" t="str">
        <x:v>일회용 스파츌라</x:v>
      </x:c>
      <x:c r="B44" s="22" t="str">
        <x:v>디트리홈</x:v>
      </x:c>
      <x:c r="C44" s="28" t="n">
        <x:v>206700</x:v>
      </x:c>
      <x:c r="D44" s="22" t="str">
        <x:v>배송조건</x:v>
      </x:c>
      <x:c r="E44" s="22" t="str">
        <x:v>공개가격</x:v>
      </x:c>
      <x:c r="F44" s="22" t="str"/>
      <x:c r="G44" s="22" t="str">
        <x:v>1,000개15,900원</x:v>
      </x:c>
      <x:c r="H44" s="22" t="str"/>
      <x:c r="I44" s="22" t="str"/>
      <x:c r="J44" s="22" t="str"/>
      <x:c r="K44" s="22" t="str"/>
    </x:row>
    <x:row r="45">
      <x:c r="A45" s="22" t="str">
        <x:v>화장솜</x:v>
      </x:c>
      <x:c r="B45" s="22" t="str">
        <x:v>엔터네일</x:v>
      </x:c>
      <x:c r="C45" s="28" t="n">
        <x:v>31000</x:v>
      </x:c>
      <x:c r="D45" s="22" t="str">
        <x:v>무료배송 조건</x:v>
      </x:c>
      <x:c r="E45" s="22" t="str">
        <x:v>공개가격</x:v>
      </x:c>
      <x:c r="F45" s="22" t="str"/>
      <x:c r="G45" s="22" t="str">
        <x:v>1,000매7,000원</x:v>
      </x:c>
      <x:c r="H45" s="22" t="str"/>
      <x:c r="I45" s="22" t="str"/>
      <x:c r="J45" s="22" t="str"/>
      <x:c r="K45" s="22" t="str"/>
    </x:row>
    <x:row r="46">
      <x:c r="A46" s="22" t="str">
        <x:v>알코올솜</x:v>
      </x:c>
      <x:c r="B46" s="22" t="str">
        <x:v>지오메드</x:v>
      </x:c>
      <x:c r="C46" s="28" t="n">
        <x:v>56000</x:v>
      </x:c>
      <x:c r="D46" s="22" t="str"/>
      <x:c r="E46" s="22" t="str">
        <x:v>공개가격</x:v>
      </x:c>
      <x:c r="F46" s="22" t="str"/>
      <x:c r="G46" s="22" t="str">
        <x:v>100매1,700원</x:v>
      </x:c>
      <x:c r="H46" s="22" t="str"/>
      <x:c r="I46" s="22" t="str"/>
      <x:c r="J46" s="22" t="str"/>
      <x:c r="K46" s="22" t="str"/>
    </x:row>
    <x:row r="47">
      <x:c r="A47" s="22" t="str">
        <x:v>손소독제</x:v>
      </x:c>
      <x:c r="B47" s="22" t="str">
        <x:v>에스원제약</x:v>
      </x:c>
      <x:c r="C47" s="28" t="n">
        <x:v>37200</x:v>
      </x:c>
      <x:c r="D47" s="22" t="str"/>
      <x:c r="E47" s="22" t="str">
        <x:v>공개가격</x:v>
      </x:c>
      <x:c r="F47" s="22" t="str"/>
      <x:c r="G47" s="22" t="str">
        <x:v>500ml×10=37,200원</x:v>
      </x:c>
      <x:c r="H47" s="22" t="str"/>
      <x:c r="I47" s="22" t="str"/>
      <x:c r="J47" s="22" t="str"/>
      <x:c r="K47" s="22" t="str"/>
    </x:row>
    <x:row r="49">
      <x:c r="A49" s="30" t="str">
        <x:v>8번 현재 공개가격 기준 소계</x:v>
      </x:c>
      <x:c r="B49" s="30"/>
      <x:c r="C49" s="32" t="n">
        <x:f>SUM(C42:C47)</x:f>
        <x:v>330900</x:v>
      </x:c>
      <x:c r="D49" s="30"/>
      <x:c r="E49" s="30"/>
      <x:c r="F49" s="30"/>
      <x:c r="G49" s="30"/>
      <x:c r="H49" s="30"/>
      <x:c r="I49" s="30"/>
      <x:c r="J49" s="30"/>
      <x:c r="K49" s="30"/>
    </x:row>
  </x:sheetData>
  <x:mergeCells>
    <x:mergeCell ref="A1:K1"/>
    <x:mergeCell ref="A3:K3"/>
    <x:mergeCell ref="A5:K5"/>
    <x:mergeCell ref="A11:K11"/>
    <x:mergeCell ref="A13:K13"/>
    <x:mergeCell ref="A20:K20"/>
    <x:mergeCell ref="A25:K25"/>
    <x:mergeCell ref="A30:K30"/>
    <x:mergeCell ref="A35:K35"/>
    <x:mergeCell ref="A40:K40"/>
    <x:mergeCell ref="A49:B4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6" hidden="0" customWidth="1"/>
    <x:col min="5" max="5" width="34" hidden="0" customWidth="1"/>
    <x:col min="6" max="6" width="30" hidden="0" customWidth="1"/>
    <x:col min="7" max="7" width="24" hidden="0" customWidth="1"/>
    <x:col min="8" max="8" width="24" hidden="0" customWidth="1"/>
    <x:col min="9" max="9" width="14" hidden="0" customWidth="1"/>
    <x:col min="10" max="10" width="12" hidden="0" customWidth="1"/>
    <x:col min="11" max="11" width="24" hidden="0" customWidth="1"/>
  </x:cols>
  <x:sheetData>
    <x:row r="1" ht="30" customHeight="1">
      <x:c r="A1" s="4" t="str">
        <x:v>9. 운영 인력비</x:v>
      </x:c>
    </x:row>
    <x:row r="3" ht="34" customHeight="1">
      <x:c r="A3" s="10" t="str">
        <x:v>운영인원은 시뮬레이션 기반: 기본 17명, 평일 대체·피크 +4명, 주말 +6명. 일반 운영인력 단가는 2026년 성수 팝업 실제 채용공고의 시급 13,000원을 기준으로 사용.</x:v>
      </x:c>
    </x:row>
    <x:row r="5" ht="24" customHeight="1">
      <x:c r="A5" s="26" t="str">
        <x:v>9-1. 운영 인력 구성</x:v>
      </x:c>
    </x:row>
    <x:row r="6">
      <x:c r="A6" s="18" t="str">
        <x:v>구역/직무</x:v>
      </x:c>
      <x:c r="B6" s="18" t="str">
        <x:v>기본 인원</x:v>
      </x:c>
      <x:c r="C6" s="18" t="str">
        <x:v>주요 업무</x:v>
      </x:c>
      <x:c r="D6" s="18" t="str">
        <x:v>평일 추가</x:v>
      </x:c>
      <x:c r="E6" s="18" t="str">
        <x:v>주말 추가</x:v>
      </x:c>
      <x:c r="F6" s="18" t="str">
        <x:v>최대 인원</x:v>
      </x:c>
      <x:c r="G6" s="18" t="str">
        <x:v>단가 기준</x:v>
      </x:c>
      <x:c r="H6" s="18" t="str">
        <x:v>근무시간</x:v>
      </x:c>
      <x:c r="I6" s="18" t="str">
        <x:v>상태</x:v>
      </x:c>
      <x:c r="J6" s="18" t="str">
        <x:v>비고</x:v>
      </x:c>
      <x:c r="K6" s="18" t="str">
        <x:v>출처</x:v>
      </x:c>
    </x:row>
    <x:row r="7">
      <x:c r="A7" s="22" t="str">
        <x:v>입구·웨이팅</x:v>
      </x:c>
      <x:c r="B7" s="22" t="n">
        <x:v>2</x:v>
      </x:c>
      <x:c r="C7" s="22" t="str">
        <x:v>예약 확인·현장 웨이팅·입장 통제</x:v>
      </x:c>
      <x:c r="D7" s="22" t="n">
        <x:v>0</x:v>
      </x:c>
      <x:c r="E7" s="22" t="n">
        <x:v>0</x:v>
      </x:c>
      <x:c r="F7" s="22" t="n">
        <x:v>2</x:v>
      </x:c>
      <x:c r="G7" s="22" t="str">
        <x:v>13,000원/시간</x:v>
      </x:c>
      <x:c r="H7" s="22" t="str">
        <x:v>코어10h 유급</x:v>
      </x:c>
      <x:c r="I7" s="22" t="str">
        <x:v>계획</x:v>
      </x:c>
      <x:c r="J7" s="22" t="str"/>
      <x:c r="K7" s="22" t="str"/>
    </x:row>
    <x:row r="8">
      <x:c r="A8" s="22" t="str">
        <x:v>피부진단존</x:v>
      </x:c>
      <x:c r="B8" s="22" t="n">
        <x:v>5</x:v>
      </x:c>
      <x:c r="C8" s="22" t="str">
        <x:v>진단4명+대기/진행1명</x:v>
      </x:c>
      <x:c r="D8" s="22" t="n">
        <x:v>0</x:v>
      </x:c>
      <x:c r="E8" s="22" t="n">
        <x:v>0</x:v>
      </x:c>
      <x:c r="F8" s="22" t="n">
        <x:v>5</x:v>
      </x:c>
      <x:c r="G8" s="22" t="str">
        <x:v>13,000원/시간</x:v>
      </x:c>
      <x:c r="H8" s="22" t="str">
        <x:v>코어10h 유급</x:v>
      </x:c>
      <x:c r="I8" s="22" t="str">
        <x:v>계획</x:v>
      </x:c>
      <x:c r="J8" s="22" t="str">
        <x:v>API-100 교육 전제</x:v>
      </x:c>
      <x:c r="K8" s="22" t="str"/>
    </x:row>
    <x:row r="9">
      <x:c r="A9" s="22" t="str">
        <x:v>루틴탐색존</x:v>
      </x:c>
      <x:c r="B9" s="22" t="n">
        <x:v>5</x:v>
      </x:c>
      <x:c r="C9" s="22" t="str">
        <x:v>스킨·로션·앰플·크림 안내+동선관리</x:v>
      </x:c>
      <x:c r="D9" s="22" t="n">
        <x:v>0</x:v>
      </x:c>
      <x:c r="E9" s="22" t="n">
        <x:v>0</x:v>
      </x:c>
      <x:c r="F9" s="22" t="n">
        <x:v>5</x:v>
      </x:c>
      <x:c r="G9" s="22" t="str">
        <x:v>13,000원/시간</x:v>
      </x:c>
      <x:c r="H9" s="22" t="str">
        <x:v>코어10h 유급</x:v>
      </x:c>
      <x:c r="I9" s="22" t="str">
        <x:v>계획</x:v>
      </x:c>
      <x:c r="J9" s="22" t="str"/>
      <x:c r="K9" s="22" t="str"/>
    </x:row>
    <x:row r="10">
      <x:c r="A10" s="22" t="str">
        <x:v>맞춤완성존</x:v>
      </x:c>
      <x:c r="B10" s="22" t="n">
        <x:v>2</x:v>
      </x:c>
      <x:c r="C10" s="22" t="str">
        <x:v>스티커 부착·QR 루틴·샘플 안내</x:v>
      </x:c>
      <x:c r="D10" s="22" t="n">
        <x:v>0</x:v>
      </x:c>
      <x:c r="E10" s="22" t="n">
        <x:v>0</x:v>
      </x:c>
      <x:c r="F10" s="22" t="n">
        <x:v>2</x:v>
      </x:c>
      <x:c r="G10" s="22" t="str">
        <x:v>13,000원/시간</x:v>
      </x:c>
      <x:c r="H10" s="22" t="str">
        <x:v>코어10h 유급</x:v>
      </x:c>
      <x:c r="I10" s="22" t="str">
        <x:v>계획</x:v>
      </x:c>
      <x:c r="J10" s="22" t="str"/>
      <x:c r="K10" s="22" t="str"/>
    </x:row>
    <x:row r="11">
      <x:c r="A11" s="22" t="str">
        <x:v>SNS 이벤트존</x:v>
      </x:c>
      <x:c r="B11" s="22" t="n">
        <x:v>1</x:v>
      </x:c>
      <x:c r="C11" s="22" t="str">
        <x:v>포토부스·SNS 이벤트 안내</x:v>
      </x:c>
      <x:c r="D11" s="22" t="n">
        <x:v>0</x:v>
      </x:c>
      <x:c r="E11" s="22" t="n">
        <x:v>0</x:v>
      </x:c>
      <x:c r="F11" s="22" t="n">
        <x:v>1</x:v>
      </x:c>
      <x:c r="G11" s="22" t="str">
        <x:v>13,000원/시간</x:v>
      </x:c>
      <x:c r="H11" s="22" t="str">
        <x:v>코어10h 유급</x:v>
      </x:c>
      <x:c r="I11" s="22" t="str">
        <x:v>계획</x:v>
      </x:c>
      <x:c r="J11" s="22" t="str"/>
      <x:c r="K11" s="22" t="str"/>
    </x:row>
    <x:row r="12">
      <x:c r="A12" s="22" t="str">
        <x:v>현장 총괄</x:v>
      </x:c>
      <x:c r="B12" s="22" t="n">
        <x:v>1</x:v>
      </x:c>
      <x:c r="C12" s="22" t="str">
        <x:v>전체 운영·이슈 대응</x:v>
      </x:c>
      <x:c r="D12" s="22" t="n">
        <x:v>0</x:v>
      </x:c>
      <x:c r="E12" s="22" t="n">
        <x:v>0</x:v>
      </x:c>
      <x:c r="F12" s="22" t="n">
        <x:v>1</x:v>
      </x:c>
      <x:c r="G12" s="22" t="str">
        <x:v>13,000원/시간 1차 적용</x:v>
      </x:c>
      <x:c r="H12" s="22" t="str">
        <x:v>코어10h 유급</x:v>
      </x:c>
      <x:c r="I12" s="22" t="str">
        <x:v>계획</x:v>
      </x:c>
      <x:c r="J12" s="22" t="str">
        <x:v>매니저 별도단가 비교 가능</x:v>
      </x:c>
      <x:c r="K12" s="22" t="str"/>
    </x:row>
    <x:row r="13">
      <x:c r="A13" s="22" t="str">
        <x:v>재고·운영지원</x:v>
      </x:c>
      <x:c r="B13" s="22" t="n">
        <x:v>1</x:v>
      </x:c>
      <x:c r="C13" s="22" t="str">
        <x:v>샘플·인쇄물·테스터 재고</x:v>
      </x:c>
      <x:c r="D13" s="22" t="n">
        <x:v>0</x:v>
      </x:c>
      <x:c r="E13" s="22" t="n">
        <x:v>0</x:v>
      </x:c>
      <x:c r="F13" s="22" t="n">
        <x:v>1</x:v>
      </x:c>
      <x:c r="G13" s="22" t="str">
        <x:v>13,000원/시간</x:v>
      </x:c>
      <x:c r="H13" s="22" t="str">
        <x:v>코어10h 유급</x:v>
      </x:c>
      <x:c r="I13" s="22" t="str">
        <x:v>계획</x:v>
      </x:c>
      <x:c r="J13" s="22" t="str"/>
      <x:c r="K13" s="22" t="str"/>
    </x:row>
    <x:row r="14">
      <x:c r="A14" s="22" t="str">
        <x:v>휴게·피크 대체</x:v>
      </x:c>
      <x:c r="B14" s="22" t="n">
        <x:v>0</x:v>
      </x:c>
      <x:c r="C14" s="22" t="str">
        <x:v>휴게시간·혼잡구간 대체</x:v>
      </x:c>
      <x:c r="D14" s="22" t="n">
        <x:v>4</x:v>
      </x:c>
      <x:c r="E14" s="22" t="n">
        <x:v>6</x:v>
      </x:c>
      <x:c r="F14" s="22" t="n">
        <x:v>6</x:v>
      </x:c>
      <x:c r="G14" s="22" t="str">
        <x:v>13,000원/시간</x:v>
      </x:c>
      <x:c r="H14" s="22" t="str">
        <x:v>8h</x:v>
      </x:c>
      <x:c r="I14" s="22" t="str">
        <x:v>계획</x:v>
      </x:c>
      <x:c r="J14" s="22" t="str"/>
      <x:c r="K14" s="22" t="str"/>
    </x:row>
    <x:row r="17" ht="24" customHeight="1">
      <x:c r="A17" s="26" t="str">
        <x:v>9-2. 인건비 단가 기준</x:v>
      </x:c>
    </x:row>
    <x:row r="18">
      <x:c r="A18" s="18" t="str">
        <x:v>기준 회사/자료</x:v>
      </x:c>
      <x:c r="B18" s="18" t="str">
        <x:v>직무</x:v>
      </x:c>
      <x:c r="C18" s="18" t="str">
        <x:v>공개 급여</x:v>
      </x:c>
      <x:c r="D18" s="18" t="str">
        <x:v>LUNEA 적용</x:v>
      </x:c>
      <x:c r="E18" s="18" t="str">
        <x:v>선정 이유</x:v>
      </x:c>
      <x:c r="F18" s="18" t="str">
        <x:v>상태</x:v>
      </x:c>
      <x:c r="G18" s="18" t="str">
        <x:v>날짜</x:v>
      </x:c>
      <x:c r="H18" s="18" t="str">
        <x:v>비교용</x:v>
      </x:c>
      <x:c r="I18" s="18" t="str">
        <x:v>비고</x:v>
      </x:c>
      <x:c r="J18" s="18" t="str">
        <x:v>출처 URL</x:v>
      </x:c>
      <x:c r="K18" s="18" t="str">
        <x:v>확인</x:v>
      </x:c>
    </x:row>
    <x:row r="19">
      <x:c r="A19" s="22" t="str">
        <x:v>최저임금위원회</x:v>
      </x:c>
      <x:c r="B19" s="22" t="str">
        <x:v>2026 법정 최저임금</x:v>
      </x:c>
      <x:c r="C19" s="22" t="str">
        <x:v>10,320원/시간</x:v>
      </x:c>
      <x:c r="D19" s="22" t="str">
        <x:v>법정 최저 확인</x:v>
      </x:c>
      <x:c r="E19" s="22" t="str">
        <x:v>하한선 확인</x:v>
      </x:c>
      <x:c r="F19" s="22" t="str">
        <x:v>공식</x:v>
      </x:c>
      <x:c r="G19" s="22" t="str"/>
      <x:c r="H19" s="22" t="str"/>
      <x:c r="I19" s="22" t="str"/>
      <x:c r="J19" s="22" t="str">
        <x:v>https://www.minimumwage.go.kr/</x:v>
      </x:c>
      <x:c r="K19" s="22" t="str"/>
    </x:row>
    <x:row r="20">
      <x:c r="A20" s="22" t="str">
        <x:v>성수 팝업 실제 채용공고</x:v>
      </x:c>
      <x:c r="B20" s="22" t="str">
        <x:v>행사·안내 스태프</x:v>
      </x:c>
      <x:c r="C20" s="22" t="str">
        <x:v>13,000원/시간</x:v>
      </x:c>
      <x:c r="D20" s="22" t="str">
        <x:v>일반 운영인력 기준</x:v>
      </x:c>
      <x:c r="E20" s="22" t="str">
        <x:v>성수 팝업 실거래 채용단가</x:v>
      </x:c>
      <x:c r="F20" s="22" t="str">
        <x:v>공개 채용단가</x:v>
      </x:c>
      <x:c r="G20" s="22" t="str">
        <x:v>2026.07</x:v>
      </x:c>
      <x:c r="H20" s="22" t="str"/>
      <x:c r="I20" s="22" t="str"/>
      <x:c r="J20" s="22" t="str"/>
      <x:c r="K20" s="22" t="str"/>
    </x:row>
    <x:row r="21">
      <x:c r="A21" s="22" t="str">
        <x:v>팝업 매니저 공고</x:v>
      </x:c>
      <x:c r="B21" s="22" t="str">
        <x:v>매니저</x:v>
      </x:c>
      <x:c r="C21" s="22" t="str">
        <x:v>140,000~150,000원/일</x:v>
      </x:c>
      <x:c r="D21" s="22" t="str">
        <x:v>현장 총괄 비교용</x:v>
      </x:c>
      <x:c r="E21" s="22" t="str">
        <x:v>1일 143,000원과 유사</x:v>
      </x:c>
      <x:c r="F21" s="22" t="str">
        <x:v>비교용</x:v>
      </x:c>
      <x:c r="G21" s="22" t="str"/>
      <x:c r="H21" s="22" t="str"/>
      <x:c r="I21" s="22" t="str"/>
      <x:c r="J21" s="22" t="str"/>
      <x:c r="K21" s="22" t="str"/>
    </x:row>
    <x:row r="23" ht="24" customHeight="1">
      <x:c r="A23" s="26" t="str">
        <x:v>9-3. 코어 운영요원 1일 인건비</x:v>
      </x:c>
    </x:row>
    <x:row r="24">
      <x:c r="A24" s="18" t="str">
        <x:v>구분</x:v>
      </x:c>
      <x:c r="B24" s="18" t="str">
        <x:v>단가</x:v>
      </x:c>
      <x:c r="C24" s="18" t="str">
        <x:v>시간</x:v>
      </x:c>
      <x:c r="D24" s="18" t="str">
        <x:v>가산</x:v>
      </x:c>
      <x:c r="E24" s="18" t="str">
        <x:v>계산</x:v>
      </x:c>
      <x:c r="F24" s="18" t="str">
        <x:v>1인 금액</x:v>
      </x:c>
      <x:c r="G24" s="18" t="str">
        <x:v>기준</x:v>
      </x:c>
      <x:c r="H24" s="18" t="str">
        <x:v>상태</x:v>
      </x:c>
      <x:c r="I24" s="18" t="str">
        <x:v>주의</x:v>
      </x:c>
      <x:c r="J24" s="18" t="str">
        <x:v>출처</x:v>
      </x:c>
      <x:c r="K24" s="18" t="str">
        <x:v>비고</x:v>
      </x:c>
    </x:row>
    <x:row r="25">
      <x:c r="A25" s="22" t="str">
        <x:v>기본근로</x:v>
      </x:c>
      <x:c r="B25" s="22" t="str">
        <x:v>13,000원</x:v>
      </x:c>
      <x:c r="C25" s="22" t="n">
        <x:v>8</x:v>
      </x:c>
      <x:c r="D25" s="22" t="str">
        <x:v>1.0</x:v>
      </x:c>
      <x:c r="E25" s="22" t="str">
        <x:v>13,000×8</x:v>
      </x:c>
      <x:c r="F25" s="28" t="n">
        <x:v>104000</x:v>
      </x:c>
      <x:c r="G25" s="22" t="str">
        <x:v>성수 팝업 시급</x:v>
      </x:c>
      <x:c r="H25" s="22" t="str">
        <x:v>계산</x:v>
      </x:c>
      <x:c r="I25" s="22" t="str">
        <x:v>실제 계약형태 확인</x:v>
      </x:c>
      <x:c r="J25" s="22" t="str"/>
      <x:c r="K25" s="22" t="str"/>
    </x:row>
    <x:row r="26">
      <x:c r="A26" s="22" t="str">
        <x:v>연장근로</x:v>
      </x:c>
      <x:c r="B26" s="22" t="str">
        <x:v>13,000원</x:v>
      </x:c>
      <x:c r="C26" s="22" t="n">
        <x:v>2</x:v>
      </x:c>
      <x:c r="D26" s="22" t="str">
        <x:v>1.5</x:v>
      </x:c>
      <x:c r="E26" s="22" t="str">
        <x:v>13,000×2×1.5</x:v>
      </x:c>
      <x:c r="F26" s="28" t="n">
        <x:v>39000</x:v>
      </x:c>
      <x:c r="G26" s="22" t="str">
        <x:v>5인 이상 사업장 전제</x:v>
      </x:c>
      <x:c r="H26" s="22" t="str">
        <x:v>계산</x:v>
      </x:c>
      <x:c r="I26" s="22" t="str">
        <x:v>법정수당 노무 확인</x:v>
      </x:c>
      <x:c r="J26" s="22" t="str"/>
      <x:c r="K26" s="22" t="str"/>
    </x:row>
    <x:row r="28">
      <x:c r="A28" s="30" t="str">
        <x:v>코어 운영요원 1인/일</x:v>
      </x:c>
      <x:c r="B28" s="30"/>
      <x:c r="C28" s="30"/>
      <x:c r="D28" s="30"/>
      <x:c r="E28" s="30"/>
      <x:c r="F28" s="32" t="n">
        <x:f>SUM(F25:F26)</x:f>
        <x:v>143000</x:v>
      </x:c>
      <x:c r="G28" s="30"/>
      <x:c r="H28" s="30"/>
      <x:c r="I28" s="30"/>
      <x:c r="J28" s="30"/>
      <x:c r="K28" s="30"/>
    </x:row>
    <x:row r="30" ht="24" customHeight="1">
      <x:c r="A30" s="26" t="str">
        <x:v>9-4. 평일 운영 인건비</x:v>
      </x:c>
    </x:row>
    <x:row r="31">
      <x:c r="A31" s="18" t="str">
        <x:v>구분</x:v>
      </x:c>
      <x:c r="B31" s="18" t="str">
        <x:v>인원</x:v>
      </x:c>
      <x:c r="C31" s="18" t="str">
        <x:v>1인 기준</x:v>
      </x:c>
      <x:c r="D31" s="18" t="str">
        <x:v>1일 계산</x:v>
      </x:c>
      <x:c r="E31" s="18" t="str">
        <x:v>1일 금액</x:v>
      </x:c>
      <x:c r="F31" s="18" t="str">
        <x:v>일수</x:v>
      </x:c>
      <x:c r="G31" s="18" t="str">
        <x:v>기간 금액</x:v>
      </x:c>
      <x:c r="H31" s="18" t="str">
        <x:v>단가 기준</x:v>
      </x:c>
      <x:c r="I31" s="18" t="str">
        <x:v>상태</x:v>
      </x:c>
      <x:c r="J31" s="18" t="str">
        <x:v>추가비</x:v>
      </x:c>
      <x:c r="K31" s="18" t="str">
        <x:v>비고</x:v>
      </x:c>
    </x:row>
    <x:row r="32">
      <x:c r="A32" s="22" t="str">
        <x:v>코어 운영인력</x:v>
      </x:c>
      <x:c r="B32" s="22" t="n">
        <x:v>17</x:v>
      </x:c>
      <x:c r="C32" s="28" t="n">
        <x:v>143000</x:v>
      </x:c>
      <x:c r="D32" s="22" t="str">
        <x:v>17×143,000</x:v>
      </x:c>
      <x:c r="E32" s="28" t="n">
        <x:v>2431000</x:v>
      </x:c>
      <x:c r="F32" s="22" t="n">
        <x:v>6</x:v>
      </x:c>
      <x:c r="G32" s="28" t="n">
        <x:v>14586000</x:v>
      </x:c>
      <x:c r="H32" s="22" t="str">
        <x:v>13,000원/시간</x:v>
      </x:c>
      <x:c r="I32" s="22" t="str">
        <x:v>계산</x:v>
      </x:c>
      <x:c r="J32" s="22" t="str">
        <x:v>법정비용 별도</x:v>
      </x:c>
      <x:c r="K32" s="22" t="str"/>
    </x:row>
    <x:row r="33">
      <x:c r="A33" s="22" t="str">
        <x:v>대체·지원 인력</x:v>
      </x:c>
      <x:c r="B33" s="22" t="n">
        <x:v>4</x:v>
      </x:c>
      <x:c r="C33" s="28" t="n">
        <x:v>104000</x:v>
      </x:c>
      <x:c r="D33" s="22" t="str">
        <x:v>4×104,000</x:v>
      </x:c>
      <x:c r="E33" s="28" t="n">
        <x:v>416000</x:v>
      </x:c>
      <x:c r="F33" s="22" t="n">
        <x:v>6</x:v>
      </x:c>
      <x:c r="G33" s="28" t="n">
        <x:v>2496000</x:v>
      </x:c>
      <x:c r="H33" s="22" t="str">
        <x:v>13,000원×8h</x:v>
      </x:c>
      <x:c r="I33" s="22" t="str">
        <x:v>계산</x:v>
      </x:c>
      <x:c r="J33" s="22" t="str">
        <x:v>법정비용 별도</x:v>
      </x:c>
      <x:c r="K33" s="22" t="str"/>
    </x:row>
    <x:row r="35">
      <x:c r="A35" s="30" t="str">
        <x:v>평일 6일 합계</x:v>
      </x:c>
      <x:c r="B35" s="30"/>
      <x:c r="C35" s="30"/>
      <x:c r="D35" s="30"/>
      <x:c r="E35" s="30"/>
      <x:c r="F35" s="30"/>
      <x:c r="G35" s="32" t="n">
        <x:f>SUM(G32:G33)</x:f>
        <x:v>17082000</x:v>
      </x:c>
      <x:c r="H35" s="30"/>
      <x:c r="I35" s="30"/>
      <x:c r="J35" s="30"/>
      <x:c r="K35" s="30"/>
    </x:row>
    <x:row r="37" ht="24" customHeight="1">
      <x:c r="A37" s="26" t="str">
        <x:v>9-5. 주말 운영 인건비</x:v>
      </x:c>
    </x:row>
    <x:row r="38">
      <x:c r="A38" s="18" t="str">
        <x:v>구분</x:v>
      </x:c>
      <x:c r="B38" s="18" t="str">
        <x:v>인원</x:v>
      </x:c>
      <x:c r="C38" s="18" t="str">
        <x:v>1인 기준</x:v>
      </x:c>
      <x:c r="D38" s="18" t="str">
        <x:v>1일 계산</x:v>
      </x:c>
      <x:c r="E38" s="18" t="str">
        <x:v>1일 금액</x:v>
      </x:c>
      <x:c r="F38" s="18" t="str">
        <x:v>일수</x:v>
      </x:c>
      <x:c r="G38" s="18" t="str">
        <x:v>기간 금액</x:v>
      </x:c>
      <x:c r="H38" s="18" t="str">
        <x:v>단가 기준</x:v>
      </x:c>
      <x:c r="I38" s="18" t="str">
        <x:v>상태</x:v>
      </x:c>
      <x:c r="J38" s="18" t="str">
        <x:v>추가비</x:v>
      </x:c>
      <x:c r="K38" s="18" t="str">
        <x:v>비고</x:v>
      </x:c>
    </x:row>
    <x:row r="39">
      <x:c r="A39" s="22" t="str">
        <x:v>코어 운영인력</x:v>
      </x:c>
      <x:c r="B39" s="22" t="n">
        <x:v>17</x:v>
      </x:c>
      <x:c r="C39" s="28" t="n">
        <x:v>143000</x:v>
      </x:c>
      <x:c r="D39" s="22" t="str">
        <x:v>17×143,000</x:v>
      </x:c>
      <x:c r="E39" s="28" t="n">
        <x:v>2431000</x:v>
      </x:c>
      <x:c r="F39" s="22" t="n">
        <x:v>4</x:v>
      </x:c>
      <x:c r="G39" s="28" t="n">
        <x:v>9724000</x:v>
      </x:c>
      <x:c r="H39" s="22" t="str">
        <x:v>13,000원/시간</x:v>
      </x:c>
      <x:c r="I39" s="22" t="str">
        <x:v>계산</x:v>
      </x:c>
      <x:c r="J39" s="22" t="str">
        <x:v>법정비용 별도</x:v>
      </x:c>
      <x:c r="K39" s="22" t="str"/>
    </x:row>
    <x:row r="40">
      <x:c r="A40" s="22" t="str">
        <x:v>대체·지원 인력</x:v>
      </x:c>
      <x:c r="B40" s="22" t="n">
        <x:v>6</x:v>
      </x:c>
      <x:c r="C40" s="28" t="n">
        <x:v>104000</x:v>
      </x:c>
      <x:c r="D40" s="22" t="str">
        <x:v>6×104,000</x:v>
      </x:c>
      <x:c r="E40" s="28" t="n">
        <x:v>624000</x:v>
      </x:c>
      <x:c r="F40" s="22" t="n">
        <x:v>4</x:v>
      </x:c>
      <x:c r="G40" s="28" t="n">
        <x:v>2496000</x:v>
      </x:c>
      <x:c r="H40" s="22" t="str">
        <x:v>13,000원×8h</x:v>
      </x:c>
      <x:c r="I40" s="22" t="str">
        <x:v>계산</x:v>
      </x:c>
      <x:c r="J40" s="22" t="str">
        <x:v>법정비용 별도</x:v>
      </x:c>
      <x:c r="K40" s="22" t="str"/>
    </x:row>
    <x:row r="42">
      <x:c r="A42" s="30" t="str">
        <x:v>주말 4일 합계</x:v>
      </x:c>
      <x:c r="B42" s="30"/>
      <x:c r="C42" s="30"/>
      <x:c r="D42" s="30"/>
      <x:c r="E42" s="30"/>
      <x:c r="F42" s="30"/>
      <x:c r="G42" s="32" t="n">
        <x:f>SUM(G39:G40)</x:f>
        <x:v>12220000</x:v>
      </x:c>
      <x:c r="H42" s="30"/>
      <x:c r="I42" s="30"/>
      <x:c r="J42" s="30"/>
      <x:c r="K42" s="30"/>
    </x:row>
    <x:row r="44" ht="24" customHeight="1">
      <x:c r="A44" s="26" t="str">
        <x:v>9-6. 사전교육·리허설</x:v>
      </x:c>
    </x:row>
    <x:row r="45">
      <x:c r="A45" s="18" t="str">
        <x:v>항목</x:v>
      </x:c>
      <x:c r="B45" s="18" t="str">
        <x:v>인원</x:v>
      </x:c>
      <x:c r="C45" s="18" t="str">
        <x:v>시간</x:v>
      </x:c>
      <x:c r="D45" s="18" t="str">
        <x:v>단가</x:v>
      </x:c>
      <x:c r="E45" s="18" t="str">
        <x:v>계산</x:v>
      </x:c>
      <x:c r="F45" s="18" t="str">
        <x:v>금액</x:v>
      </x:c>
      <x:c r="G45" s="18" t="str">
        <x:v>기준</x:v>
      </x:c>
      <x:c r="H45" s="18" t="str">
        <x:v>상태</x:v>
      </x:c>
      <x:c r="I45" s="18" t="str">
        <x:v>포함/별도</x:v>
      </x:c>
      <x:c r="J45" s="18" t="str">
        <x:v>주의</x:v>
      </x:c>
      <x:c r="K45" s="18" t="str">
        <x:v>비고</x:v>
      </x:c>
    </x:row>
    <x:row r="46">
      <x:c r="A46" s="22" t="str">
        <x:v>사전 운영교육</x:v>
      </x:c>
      <x:c r="B46" s="22" t="n">
        <x:v>23</x:v>
      </x:c>
      <x:c r="C46" s="22" t="n">
        <x:v>4</x:v>
      </x:c>
      <x:c r="D46" s="28" t="n">
        <x:v>13000</x:v>
      </x:c>
      <x:c r="E46" s="22" t="str">
        <x:v>23×4×13,000</x:v>
      </x:c>
      <x:c r="F46" s="28" t="n">
        <x:v>1196000</x:v>
      </x:c>
      <x:c r="G46" s="22" t="str">
        <x:v>성수 팝업 시급</x:v>
      </x:c>
      <x:c r="H46" s="22" t="str">
        <x:v>계산</x:v>
      </x:c>
      <x:c r="I46" s="22" t="str">
        <x:v>직접 인건비</x:v>
      </x:c>
      <x:c r="J46" s="22" t="str">
        <x:v>제품/기기 교육</x:v>
      </x:c>
      <x:c r="K46" s="22" t="str"/>
    </x:row>
    <x:row r="47">
      <x:c r="A47" s="22" t="str">
        <x:v>현장 리허설</x:v>
      </x:c>
      <x:c r="B47" s="22" t="n">
        <x:v>23</x:v>
      </x:c>
      <x:c r="C47" s="22" t="n">
        <x:v>6</x:v>
      </x:c>
      <x:c r="D47" s="28" t="n">
        <x:v>13000</x:v>
      </x:c>
      <x:c r="E47" s="22" t="str">
        <x:v>23×6×13,000</x:v>
      </x:c>
      <x:c r="F47" s="28" t="n">
        <x:v>1794000</x:v>
      </x:c>
      <x:c r="G47" s="22" t="str">
        <x:v>성수 팝업 시급</x:v>
      </x:c>
      <x:c r="H47" s="22" t="str">
        <x:v>계산</x:v>
      </x:c>
      <x:c r="I47" s="22" t="str">
        <x:v>직접 인건비</x:v>
      </x:c>
      <x:c r="J47" s="22" t="str">
        <x:v>대관1일은 2번 별도</x:v>
      </x:c>
      <x:c r="K47" s="22" t="str"/>
    </x:row>
    <x:row r="49">
      <x:c r="A49" s="30" t="str">
        <x:v>교육+리허설 합계</x:v>
      </x:c>
      <x:c r="B49" s="30"/>
      <x:c r="C49" s="30"/>
      <x:c r="D49" s="30"/>
      <x:c r="E49" s="30"/>
      <x:c r="F49" s="32" t="n">
        <x:f>SUM(F46:F47)</x:f>
        <x:v>2990000</x:v>
      </x:c>
      <x:c r="G49" s="30"/>
      <x:c r="H49" s="30"/>
      <x:c r="I49" s="30"/>
      <x:c r="J49" s="30"/>
      <x:c r="K49" s="30"/>
    </x:row>
    <x:row r="51" ht="24" customHeight="1">
      <x:c r="A51" s="26" t="str">
        <x:v>9-7. 피부진단 인력 처리</x:v>
      </x:c>
    </x:row>
    <x:row r="52">
      <x:c r="A52" s="18" t="str">
        <x:v>방식</x:v>
      </x:c>
      <x:c r="B52" s="18" t="str">
        <x:v>비용 처리</x:v>
      </x:c>
      <x:c r="C52" s="18" t="str">
        <x:v>기준</x:v>
      </x:c>
      <x:c r="D52" s="18" t="str">
        <x:v>반영액</x:v>
      </x:c>
      <x:c r="E52" s="18" t="str">
        <x:v>상태</x:v>
      </x:c>
      <x:c r="F52" s="18" t="str">
        <x:v>이유</x:v>
      </x:c>
      <x:c r="G52" s="18" t="str">
        <x:v>추가 확인</x:v>
      </x:c>
      <x:c r="H52" s="18" t="str">
        <x:v>장점</x:v>
      </x:c>
      <x:c r="I52" s="18" t="str">
        <x:v>리스크</x:v>
      </x:c>
      <x:c r="J52" s="18" t="str">
        <x:v>대안</x:v>
      </x:c>
      <x:c r="K52" s="18" t="str">
        <x:v>비고</x:v>
      </x:c>
    </x:row>
    <x:row r="53">
      <x:c r="A53" s="22" t="str">
        <x:v>일반 운영스태프 + API-100 교육</x:v>
      </x:c>
      <x:c r="B53" s="22" t="str">
        <x:v>위 13,000원/시간 포함</x:v>
      </x:c>
      <x:c r="C53" s="22" t="str">
        <x:v>기기교육 전제</x:v>
      </x:c>
      <x:c r="D53" s="28" t="n">
        <x:v>0</x:v>
      </x:c>
      <x:c r="E53" s="22" t="str">
        <x:v>기본안</x:v>
      </x:c>
      <x:c r="F53" s="22" t="str">
        <x:v>전문상담사 별도채용비 절감</x:v>
      </x:c>
      <x:c r="G53" s="22" t="str">
        <x:v>기기교육비 6번 확인</x:v>
      </x:c>
      <x:c r="H53" s="22" t="str">
        <x:v>비용효율</x:v>
      </x:c>
      <x:c r="I53" s="22" t="str">
        <x:v>상담 깊이 제한</x:v>
      </x:c>
      <x:c r="J53" s="22" t="str">
        <x:v>피부전문가 별도배치</x:v>
      </x:c>
      <x:c r="K53" s="22" t="str"/>
    </x:row>
    <x:row r="54">
      <x:c r="A54" s="22" t="str">
        <x:v>피부관리사·전문상담사 별도 배치</x:v>
      </x:c>
      <x:c r="B54" s="22" t="str">
        <x:v>별도 견적</x:v>
      </x:c>
      <x:c r="C54" s="22" t="str">
        <x:v>자격/업무범위 확인</x:v>
      </x:c>
      <x:c r="D54" s="28" t="n">
        <x:v>0</x:v>
      </x:c>
      <x:c r="E54" s="22" t="str">
        <x:v>선택안</x:v>
      </x:c>
      <x:c r="F54" s="22" t="str">
        <x:v>전문상담 필요 시</x:v>
      </x:c>
      <x:c r="G54" s="22" t="str">
        <x:v>실제 일급/시급 확인</x:v>
      </x:c>
      <x:c r="H54" s="22" t="str">
        <x:v>전문성</x:v>
      </x:c>
      <x:c r="I54" s="22" t="str">
        <x:v>비용 증가</x:v>
      </x:c>
      <x:c r="J54" s="22" t="str"/>
      <x:c r="K54" s="22" t="str"/>
    </x:row>
    <x:row r="57" ht="24" customHeight="1">
      <x:c r="A57" s="26" t="str">
        <x:v>9-8. 9번 최종 정리</x:v>
      </x:c>
    </x:row>
    <x:row r="58">
      <x:c r="A58" s="18" t="str">
        <x:v>항목</x:v>
      </x:c>
      <x:c r="B58" s="18" t="str">
        <x:v>금액</x:v>
      </x:c>
      <x:c r="C58" s="18" t="str">
        <x:v>기준</x:v>
      </x:c>
      <x:c r="D58" s="18" t="str">
        <x:v>상태</x:v>
      </x:c>
      <x:c r="E58" s="18" t="str">
        <x:v>미반영 비용</x:v>
      </x:c>
      <x:c r="F58" s="18" t="str">
        <x:v>계산 근거</x:v>
      </x:c>
      <x:c r="G58" s="18" t="str">
        <x:v>비고</x:v>
      </x:c>
      <x:c r="H58" s="18" t="str">
        <x:v>출처</x:v>
      </x:c>
      <x:c r="I58" s="18" t="str">
        <x:v>담당</x:v>
      </x:c>
      <x:c r="J58" s="18" t="str">
        <x:v>완료</x:v>
      </x:c>
      <x:c r="K58" s="18" t="str">
        <x:v>메모</x:v>
      </x:c>
    </x:row>
    <x:row r="59">
      <x:c r="A59" s="22" t="str">
        <x:v>평일 운영 6일</x:v>
      </x:c>
      <x:c r="B59" s="28" t="n">
        <x:v>17082000</x:v>
      </x:c>
      <x:c r="C59" s="22" t="str">
        <x:v>시급13,000원</x:v>
      </x:c>
      <x:c r="D59" s="22" t="str">
        <x:v>계산</x:v>
      </x:c>
      <x:c r="E59" s="22" t="str">
        <x:v>법정수당/보험/대행</x:v>
      </x:c>
      <x:c r="F59" s="22" t="str">
        <x:v>17명 코어+4명 지원</x:v>
      </x:c>
      <x:c r="G59" s="22" t="str"/>
      <x:c r="H59" s="22" t="str"/>
      <x:c r="I59" s="22" t="str"/>
      <x:c r="J59" s="22" t="str"/>
      <x:c r="K59" s="22" t="str"/>
    </x:row>
    <x:row r="60">
      <x:c r="A60" s="22" t="str">
        <x:v>주말 운영 4일</x:v>
      </x:c>
      <x:c r="B60" s="28" t="n">
        <x:v>12220000</x:v>
      </x:c>
      <x:c r="C60" s="22" t="str">
        <x:v>시급13,000원</x:v>
      </x:c>
      <x:c r="D60" s="22" t="str">
        <x:v>계산</x:v>
      </x:c>
      <x:c r="E60" s="22" t="str">
        <x:v>법정수당/보험/대행</x:v>
      </x:c>
      <x:c r="F60" s="22" t="str">
        <x:v>17명 코어+6명 지원</x:v>
      </x:c>
      <x:c r="G60" s="22" t="str"/>
      <x:c r="H60" s="22" t="str"/>
      <x:c r="I60" s="22" t="str"/>
      <x:c r="J60" s="22" t="str"/>
      <x:c r="K60" s="22" t="str"/>
    </x:row>
    <x:row r="61">
      <x:c r="A61" s="22" t="str">
        <x:v>사전교육 4시간</x:v>
      </x:c>
      <x:c r="B61" s="28" t="n">
        <x:v>1196000</x:v>
      </x:c>
      <x:c r="C61" s="22" t="str">
        <x:v>시급13,000원</x:v>
      </x:c>
      <x:c r="D61" s="22" t="str">
        <x:v>계산</x:v>
      </x:c>
      <x:c r="E61" s="22" t="str"/>
      <x:c r="F61" s="22" t="str">
        <x:v>23명×4h</x:v>
      </x:c>
      <x:c r="G61" s="22" t="str"/>
      <x:c r="H61" s="22" t="str"/>
      <x:c r="I61" s="22" t="str"/>
      <x:c r="J61" s="22" t="str"/>
      <x:c r="K61" s="22" t="str"/>
    </x:row>
    <x:row r="62">
      <x:c r="A62" s="22" t="str">
        <x:v>리허설 6시간</x:v>
      </x:c>
      <x:c r="B62" s="28" t="n">
        <x:v>1794000</x:v>
      </x:c>
      <x:c r="C62" s="22" t="str">
        <x:v>시급13,000원</x:v>
      </x:c>
      <x:c r="D62" s="22" t="str">
        <x:v>계산</x:v>
      </x:c>
      <x:c r="E62" s="22" t="str"/>
      <x:c r="F62" s="22" t="str">
        <x:v>23명×6h</x:v>
      </x:c>
      <x:c r="G62" s="22" t="str"/>
      <x:c r="H62" s="22" t="str"/>
      <x:c r="I62" s="22" t="str"/>
      <x:c r="J62" s="22" t="str"/>
      <x:c r="K62" s="22" t="str"/>
    </x:row>
    <x:row r="64">
      <x:c r="A64" s="30" t="str">
        <x:v>9번 직접 인건비 합계</x:v>
      </x:c>
      <x:c r="B64" s="32" t="n">
        <x:f>SUM(B59:B62)</x:f>
        <x:v>32292000</x:v>
      </x:c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6" ht="34" customHeight="1">
      <x:c r="A66" s="38" t="str">
        <x:v>미반영: 주휴수당, 4대보험·고용 관련 비용, 인력대행 수수료, 전문 피부상담사 별도 채용비. 실제 고용형태에 따라 최종 인건비 재계산.</x:v>
      </x:c>
    </x:row>
  </x:sheetData>
  <x:mergeCells>
    <x:mergeCell ref="A1:K1"/>
    <x:mergeCell ref="A3:K3"/>
    <x:mergeCell ref="A5:K5"/>
    <x:mergeCell ref="A17:K17"/>
    <x:mergeCell ref="A23:K23"/>
    <x:mergeCell ref="A28:E28"/>
    <x:mergeCell ref="A30:K30"/>
    <x:mergeCell ref="A35:F35"/>
    <x:mergeCell ref="A37:K37"/>
    <x:mergeCell ref="A42:F42"/>
    <x:mergeCell ref="A44:K44"/>
    <x:mergeCell ref="A49:E49"/>
    <x:mergeCell ref="A51:K51"/>
    <x:mergeCell ref="A57:K57"/>
    <x:mergeCell ref="A66:K6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8" hidden="0" customWidth="1"/>
    <x:col min="4" max="4" width="32" hidden="0" customWidth="1"/>
    <x:col min="5" max="5" width="20" hidden="0" customWidth="1"/>
    <x:col min="6" max="6" width="24" hidden="0" customWidth="1"/>
    <x:col min="7" max="7" width="24" hidden="0" customWidth="1"/>
    <x:col min="8" max="8" width="28" hidden="0" customWidth="1"/>
    <x:col min="9" max="9" width="14" hidden="0" customWidth="1"/>
    <x:col min="10" max="10" width="12" hidden="0" customWidth="1"/>
    <x:col min="11" max="11" width="24" hidden="0" customWidth="1"/>
  </x:cols>
  <x:sheetData>
    <x:row r="1" ht="30" customHeight="1">
      <x:c r="A1" s="4" t="str">
        <x:v>10. 물류·청소·현장 운영비</x:v>
      </x:c>
    </x:row>
    <x:row r="3" ht="34" customHeight="1">
      <x:c r="A3" s="10" t="str">
        <x:v>4·5번 시공 구조물 운송/철거 운송은 제외하고, 제품·샘플·인쇄물 물류와 실제 10일 운영 중 현장관리비만 반영.</x:v>
      </x:c>
    </x:row>
    <x:row r="5" ht="24" customHeight="1">
      <x:c r="A5" s="26" t="str">
        <x:v>10-1. 제품·샘플·인쇄물 운송</x:v>
      </x:c>
    </x:row>
    <x:row r="6">
      <x:c r="A6" s="18" t="str">
        <x:v>항목</x:v>
      </x:c>
      <x:c r="B6" s="18" t="str">
        <x:v>기준 회사/상품</x:v>
      </x:c>
      <x:c r="C6" s="18" t="str">
        <x:v>공개가격</x:v>
      </x:c>
      <x:c r="D6" s="18" t="str">
        <x:v>수량</x:v>
      </x:c>
      <x:c r="E6" s="18" t="str">
        <x:v>계산</x:v>
      </x:c>
      <x:c r="F6" s="18" t="str">
        <x:v>반영액</x:v>
      </x:c>
      <x:c r="G6" s="18" t="str">
        <x:v>상태</x:v>
      </x:c>
      <x:c r="H6" s="18" t="str">
        <x:v>포함/별도</x:v>
      </x:c>
      <x:c r="I6" s="18" t="str">
        <x:v>주의</x:v>
      </x:c>
      <x:c r="J6" s="18" t="str">
        <x:v>대안</x:v>
      </x:c>
      <x:c r="K6" s="18" t="str">
        <x:v>출처 URL</x:v>
      </x:c>
    </x:row>
    <x:row r="7">
      <x:c r="A7" s="22" t="str">
        <x:v>오픈 전 물품 반입</x:v>
      </x:c>
      <x:c r="B7" s="22" t="str">
        <x:v>센디 / 1톤 카고</x:v>
      </x:c>
      <x:c r="C7" s="22" t="str">
        <x:v>10km 54,000원~</x:v>
      </x:c>
      <x:c r="D7" s="22" t="n">
        <x:v>1</x:v>
      </x:c>
      <x:c r="E7" s="22" t="str">
        <x:v>54,000</x:v>
      </x:c>
      <x:c r="F7" s="28" t="n">
        <x:v>54000</x:v>
      </x:c>
      <x:c r="G7" s="22" t="str">
        <x:v>공개 시작가</x:v>
      </x:c>
      <x:c r="H7" s="22" t="str">
        <x:v>운영물품만</x:v>
      </x:c>
      <x:c r="I7" s="22" t="str">
        <x:v>실제 거리·시간대 변동</x:v>
      </x:c>
      <x:c r="J7" s="22" t="str">
        <x:v>탑차 62,000원~</x:v>
      </x:c>
      <x:c r="K7" s="22" t="str">
        <x:v>https://sendy.ai/</x:v>
      </x:c>
    </x:row>
    <x:row r="8">
      <x:c r="A8" s="22" t="str">
        <x:v>행사 종료 후 재고 반출</x:v>
      </x:c>
      <x:c r="B8" s="22" t="str">
        <x:v>센디 / 1톤 카고</x:v>
      </x:c>
      <x:c r="C8" s="22" t="str">
        <x:v>10km 54,000원~</x:v>
      </x:c>
      <x:c r="D8" s="22" t="n">
        <x:v>1</x:v>
      </x:c>
      <x:c r="E8" s="22" t="str">
        <x:v>54,000</x:v>
      </x:c>
      <x:c r="F8" s="28" t="n">
        <x:v>54000</x:v>
      </x:c>
      <x:c r="G8" s="22" t="str">
        <x:v>공개 시작가</x:v>
      </x:c>
      <x:c r="H8" s="22" t="str">
        <x:v>운영물품만</x:v>
      </x:c>
      <x:c r="I8" s="22" t="str">
        <x:v>실제 거리·시간대 변동</x:v>
      </x:c>
      <x:c r="J8" s="22" t="str">
        <x:v>탑차 62,000원~</x:v>
      </x:c>
      <x:c r="K8" s="22" t="str">
        <x:v>https://sendy.ai/</x:v>
      </x:c>
    </x:row>
    <x:row r="10">
      <x:c r="A10" s="30" t="str">
        <x:v>10-1 최소 운송비</x:v>
      </x:c>
      <x:c r="B10" s="30"/>
      <x:c r="C10" s="30"/>
      <x:c r="D10" s="30"/>
      <x:c r="E10" s="30"/>
      <x:c r="F10" s="32" t="n">
        <x:f>SUM(F7:F8)</x:f>
        <x:v>108000</x:v>
      </x:c>
      <x:c r="G10" s="30"/>
      <x:c r="H10" s="30"/>
      <x:c r="I10" s="30"/>
      <x:c r="J10" s="30"/>
      <x:c r="K10" s="30"/>
    </x:row>
    <x:row r="12" ht="24" customHeight="1">
      <x:c r="A12" s="26" t="str">
        <x:v>10-2. 운영 중 일일 청소</x:v>
      </x:c>
    </x:row>
    <x:row r="13">
      <x:c r="A13" s="18" t="str">
        <x:v>항목</x:v>
      </x:c>
      <x:c r="B13" s="18" t="str">
        <x:v>기준 회사/상품</x:v>
      </x:c>
      <x:c r="C13" s="18" t="str">
        <x:v>공개가격</x:v>
      </x:c>
      <x:c r="D13" s="18" t="str">
        <x:v>수량/기간</x:v>
      </x:c>
      <x:c r="E13" s="18" t="str">
        <x:v>계산</x:v>
      </x:c>
      <x:c r="F13" s="18" t="str">
        <x:v>반영액</x:v>
      </x:c>
      <x:c r="G13" s="18" t="str">
        <x:v>상태</x:v>
      </x:c>
      <x:c r="H13" s="18" t="str">
        <x:v>포함/별도</x:v>
      </x:c>
      <x:c r="I13" s="18" t="str">
        <x:v>주의</x:v>
      </x:c>
      <x:c r="J13" s="18" t="str">
        <x:v>대안</x:v>
      </x:c>
      <x:c r="K13" s="18" t="str">
        <x:v>출처 URL</x:v>
      </x:c>
    </x:row>
    <x:row r="14">
      <x:c r="A14" s="22" t="str">
        <x:v>일일 사업장 청소</x:v>
      </x:c>
      <x:c r="B14" s="22" t="str">
        <x:v>미소 / 단기청소 4시간</x:v>
      </x:c>
      <x:c r="C14" s="22" t="str">
        <x:v>68,900원/회</x:v>
      </x:c>
      <x:c r="D14" s="22" t="str">
        <x:v>10일</x:v>
      </x:c>
      <x:c r="E14" s="22" t="str">
        <x:v>68,900×10</x:v>
      </x:c>
      <x:c r="F14" s="28" t="n">
        <x:v>689000</x:v>
      </x:c>
      <x:c r="G14" s="22" t="str">
        <x:v>공개가격 계산</x:v>
      </x:c>
      <x:c r="H14" s="22" t="str">
        <x:v>운영10일</x:v>
      </x:c>
      <x:c r="I14" s="22" t="str">
        <x:v>팝업 상업시설 접수 가능 확인</x:v>
      </x:c>
      <x:c r="J14" s="22" t="str">
        <x:v>전문 사업장 청소 견적</x:v>
      </x:c>
      <x:c r="K14" s="22" t="str">
        <x:v>https://miso.kr/officeclean</x:v>
      </x:c>
    </x:row>
    <x:row r="15">
      <x:c r="A15" s="22" t="str">
        <x:v>청소도구</x:v>
      </x:c>
      <x:c r="B15" s="22" t="str">
        <x:v>고객 준비 조건</x:v>
      </x:c>
      <x:c r="C15" s="22" t="str">
        <x:v>가격 미확정</x:v>
      </x:c>
      <x:c r="D15" s="22" t="str">
        <x:v>현장비치</x:v>
      </x:c>
      <x:c r="E15" s="22" t="str">
        <x:v>-</x:v>
      </x:c>
      <x:c r="F15" s="28" t="n">
        <x:v>0</x:v>
      </x:c>
      <x:c r="G15" s="22" t="str">
        <x:v>별도 확인</x:v>
      </x:c>
      <x:c r="H15" s="22" t="str">
        <x:v>소모품</x:v>
      </x:c>
      <x:c r="I15" s="22" t="str">
        <x:v>걸레·세제·쓰레기봉투 등</x:v>
      </x:c>
      <x:c r="J15" s="22" t="str">
        <x:v>8번 소모품과 구분</x:v>
      </x:c>
      <x:c r="K15" s="22" t="str">
        <x:v>https://miso.kr/officeclean</x:v>
      </x:c>
    </x:row>
    <x:row r="16">
      <x:c r="A16" s="22" t="str">
        <x:v>철거 후 대청소</x:v>
      </x:c>
      <x:c r="B16" s="22" t="str">
        <x:v>5번 철거·원상복구</x:v>
      </x:c>
      <x:c r="C16" s="22" t="str">
        <x:v>-</x:v>
      </x:c>
      <x:c r="D16" s="22" t="n">
        <x:v>1</x:v>
      </x:c>
      <x:c r="E16" s="22" t="str">
        <x:v>-</x:v>
      </x:c>
      <x:c r="F16" s="28" t="n">
        <x:v>0</x:v>
      </x:c>
      <x:c r="G16" s="22" t="str">
        <x:v>10번 제외</x:v>
      </x:c>
      <x:c r="H16" s="22" t="str">
        <x:v>5번 포함요청</x:v>
      </x:c>
      <x:c r="I16" s="22" t="str">
        <x:v>중복 반영 금지</x:v>
      </x:c>
      <x:c r="J16" s="22" t="str"/>
      <x:c r="K16" s="22" t="str"/>
    </x:row>
    <x:row r="18" ht="24" customHeight="1">
      <x:c r="A18" s="26" t="str">
        <x:v>10-3. 운영 무전기</x:v>
      </x:c>
    </x:row>
    <x:row r="19">
      <x:c r="A19" s="18" t="str">
        <x:v>항목</x:v>
      </x:c>
      <x:c r="B19" s="18" t="str">
        <x:v>기준 회사/상품</x:v>
      </x:c>
      <x:c r="C19" s="18" t="str">
        <x:v>공개가격</x:v>
      </x:c>
      <x:c r="D19" s="18" t="str">
        <x:v>수량</x:v>
      </x:c>
      <x:c r="E19" s="18" t="str">
        <x:v>기간</x:v>
      </x:c>
      <x:c r="F19" s="18" t="str">
        <x:v>계산</x:v>
      </x:c>
      <x:c r="G19" s="18" t="str">
        <x:v>반영액</x:v>
      </x:c>
      <x:c r="H19" s="18" t="str">
        <x:v>상태</x:v>
      </x:c>
      <x:c r="I19" s="18" t="str">
        <x:v>배치</x:v>
      </x:c>
      <x:c r="J19" s="18" t="str">
        <x:v>주의</x:v>
      </x:c>
      <x:c r="K19" s="18" t="str">
        <x:v>출처 URL</x:v>
      </x:c>
    </x:row>
    <x:row r="20">
      <x:c r="A20" s="22" t="str">
        <x:v>행사용 무전기 렌탈</x:v>
      </x:c>
      <x:c r="B20" s="22" t="str">
        <x:v>하나통신</x:v>
      </x:c>
      <x:c r="C20" s="22" t="str">
        <x:v>5,500원/대·일</x:v>
      </x:c>
      <x:c r="D20" s="22" t="n">
        <x:v>8</x:v>
      </x:c>
      <x:c r="E20" s="22" t="n">
        <x:v>11</x:v>
      </x:c>
      <x:c r="F20" s="22" t="str">
        <x:v>8×11×5,500</x:v>
      </x:c>
      <x:c r="G20" s="28" t="n">
        <x:v>484000</x:v>
      </x:c>
      <x:c r="H20" s="22" t="str">
        <x:v>공개가격 계산</x:v>
      </x:c>
      <x:c r="I20" s="22" t="str">
        <x:v>구역책임자7+예비1</x:v>
      </x:c>
      <x:c r="J20" s="22" t="str">
        <x:v>이어마이크 옵션</x:v>
      </x:c>
      <x:c r="K20" s="22" t="str">
        <x:v>https://www.okhana.co.kr/m/product.html?branduid=1813393</x:v>
      </x:c>
    </x:row>
    <x:row r="21">
      <x:c r="A21" s="22" t="str">
        <x:v>배송비</x:v>
      </x:c>
      <x:c r="B21" s="22" t="str">
        <x:v>하나통신</x:v>
      </x:c>
      <x:c r="C21" s="22" t="str">
        <x:v>77,000원 이상 무료</x:v>
      </x:c>
      <x:c r="D21" s="22" t="n">
        <x:v>1</x:v>
      </x:c>
      <x:c r="E21" s="22" t="n">
        <x:v>1</x:v>
      </x:c>
      <x:c r="F21" s="22" t="str">
        <x:v>주문액484,000</x:v>
      </x:c>
      <x:c r="G21" s="28" t="n">
        <x:v>0</x:v>
      </x:c>
      <x:c r="H21" s="22" t="str">
        <x:v>무료조건 충족 가정</x:v>
      </x:c>
      <x:c r="I21" s="22" t="str">
        <x:v>묶음배송</x:v>
      </x:c>
      <x:c r="J21" s="22" t="str">
        <x:v>최종 주문조건 확인</x:v>
      </x:c>
      <x:c r="K21" s="22" t="str">
        <x:v>https://www.okhana.co.kr/m/product.html?branduid=1813393</x:v>
      </x:c>
    </x:row>
    <x:row r="24" ht="24" customHeight="1">
      <x:c r="A24" s="26" t="str">
        <x:v>10-4. 현장 인터넷·Wi-Fi</x:v>
      </x:c>
    </x:row>
    <x:row r="25">
      <x:c r="A25" s="18" t="str">
        <x:v>항목</x:v>
      </x:c>
      <x:c r="B25" s="18" t="str">
        <x:v>기준</x:v>
      </x:c>
      <x:c r="C25" s="18" t="str">
        <x:v>가격</x:v>
      </x:c>
      <x:c r="D25" s="18" t="str">
        <x:v>수량</x:v>
      </x:c>
      <x:c r="E25" s="18" t="str">
        <x:v>계산</x:v>
      </x:c>
      <x:c r="F25" s="18" t="str">
        <x:v>반영액</x:v>
      </x:c>
      <x:c r="G25" s="18" t="str">
        <x:v>상태</x:v>
      </x:c>
      <x:c r="H25" s="18" t="str">
        <x:v>이유</x:v>
      </x:c>
      <x:c r="I25" s="18" t="str">
        <x:v>확인처</x:v>
      </x:c>
      <x:c r="J25" s="18" t="str">
        <x:v>추가 액션</x:v>
      </x:c>
      <x:c r="K25" s="18" t="str">
        <x:v>비고</x:v>
      </x:c>
    </x:row>
    <x:row r="26">
      <x:c r="A26" s="22" t="str">
        <x:v>행사장 기본 Wi-Fi</x:v>
      </x:c>
      <x:c r="B26" s="22" t="str">
        <x:v>연무장길33 제공 여부</x:v>
      </x:c>
      <x:c r="C26" s="22" t="str">
        <x:v>미확인</x:v>
      </x:c>
      <x:c r="D26" s="22" t="n">
        <x:v>1</x:v>
      </x:c>
      <x:c r="E26" s="22" t="str">
        <x:v>-</x:v>
      </x:c>
      <x:c r="F26" s="28" t="n">
        <x:v>0</x:v>
      </x:c>
      <x:c r="G26" s="22" t="str">
        <x:v>별도 확인</x:v>
      </x:c>
      <x:c r="H26" s="22" t="str">
        <x:v>진단·웨이팅·QR·포토부스 필수</x:v>
      </x:c>
      <x:c r="I26" s="22" t="str">
        <x:v>대관처</x:v>
      </x:c>
      <x:c r="J26" s="22" t="str">
        <x:v>속도/동시접속 테스트</x:v>
      </x:c>
      <x:c r="K26" s="22" t="str">
        <x:v>포함시0원</x:v>
      </x:c>
    </x:row>
    <x:row r="27">
      <x:c r="A27" s="22" t="str">
        <x:v>별도 인터넷 설치</x:v>
      </x:c>
      <x:c r="B27" s="22" t="str">
        <x:v>기본 Wi-Fi 부족 시</x:v>
      </x:c>
      <x:c r="C27" s="22" t="str">
        <x:v>정식견적</x:v>
      </x:c>
      <x:c r="D27" s="22" t="n">
        <x:v>1</x:v>
      </x:c>
      <x:c r="E27" s="22" t="str">
        <x:v>-</x:v>
      </x:c>
      <x:c r="F27" s="28" t="n">
        <x:v>0</x:v>
      </x:c>
      <x:c r="G27" s="22" t="str">
        <x:v>별도 견적</x:v>
      </x:c>
      <x:c r="H27" s="22" t="str">
        <x:v>안정적 네트워크</x:v>
      </x:c>
      <x:c r="I27" s="22" t="str">
        <x:v>통신사/대관처</x:v>
      </x:c>
      <x:c r="J27" s="22" t="str">
        <x:v>단기설치 가능 여부</x:v>
      </x:c>
      <x:c r="K27" s="22" t="str"/>
    </x:row>
    <x:row r="28">
      <x:c r="A28" s="22" t="str">
        <x:v>백업 LTE·5G 라우터</x:v>
      </x:c>
      <x:c r="B28" s="22" t="str">
        <x:v>장애 대비</x:v>
      </x:c>
      <x:c r="C28" s="22" t="str">
        <x:v>정식견적</x:v>
      </x:c>
      <x:c r="D28" s="22" t="n">
        <x:v>1</x:v>
      </x:c>
      <x:c r="E28" s="22" t="str">
        <x:v>-</x:v>
      </x:c>
      <x:c r="F28" s="28" t="n">
        <x:v>0</x:v>
      </x:c>
      <x:c r="G28" s="22" t="str">
        <x:v>선택 견적</x:v>
      </x:c>
      <x:c r="H28" s="22" t="str">
        <x:v>네트워크 장애 대응</x:v>
      </x:c>
      <x:c r="I28" s="22" t="str">
        <x:v>통신사</x:v>
      </x:c>
      <x:c r="J28" s="22" t="str">
        <x:v>필요성 판단</x:v>
      </x:c>
      <x:c r="K28" s="22" t="str"/>
    </x:row>
    <x:row r="30" ht="24" customHeight="1">
      <x:c r="A30" s="26" t="str">
        <x:v>10-5. 폐기물·쓰레기 처리</x:v>
      </x:c>
    </x:row>
    <x:row r="31">
      <x:c r="A31" s="18" t="str">
        <x:v>항목</x:v>
      </x:c>
      <x:c r="B31" s="18" t="str">
        <x:v>기준</x:v>
      </x:c>
      <x:c r="C31" s="18" t="str">
        <x:v>가격</x:v>
      </x:c>
      <x:c r="D31" s="18" t="str">
        <x:v>수량</x:v>
      </x:c>
      <x:c r="E31" s="18" t="str">
        <x:v>계산</x:v>
      </x:c>
      <x:c r="F31" s="18" t="str">
        <x:v>반영액</x:v>
      </x:c>
      <x:c r="G31" s="18" t="str">
        <x:v>상태</x:v>
      </x:c>
      <x:c r="H31" s="18" t="str">
        <x:v>구분</x:v>
      </x:c>
      <x:c r="I31" s="18" t="str">
        <x:v>확인처</x:v>
      </x:c>
      <x:c r="J31" s="18" t="str">
        <x:v>중복 방지</x:v>
      </x:c>
      <x:c r="K31" s="18" t="str">
        <x:v>비고</x:v>
      </x:c>
    </x:row>
    <x:row r="32">
      <x:c r="A32" s="22" t="str">
        <x:v>일일 일반쓰레기</x:v>
      </x:c>
      <x:c r="B32" s="22" t="str">
        <x:v>연무장길33 폐기 규정</x:v>
      </x:c>
      <x:c r="C32" s="22" t="str">
        <x:v>미확인</x:v>
      </x:c>
      <x:c r="D32" s="22" t="n">
        <x:v>10</x:v>
      </x:c>
      <x:c r="E32" s="22" t="str">
        <x:v>-</x:v>
      </x:c>
      <x:c r="F32" s="28" t="n">
        <x:v>0</x:v>
      </x:c>
      <x:c r="G32" s="22" t="str">
        <x:v>별도 확인</x:v>
      </x:c>
      <x:c r="H32" s="22" t="str">
        <x:v>운영폐기물</x:v>
      </x:c>
      <x:c r="I32" s="22" t="str">
        <x:v>대관처</x:v>
      </x:c>
      <x:c r="J32" s="22" t="str">
        <x:v>시공폐기물=5번</x:v>
      </x:c>
      <x:c r="K32" s="22" t="str"/>
    </x:row>
    <x:row r="33">
      <x:c r="A33" s="22" t="str">
        <x:v>화장품 테스터 폐기</x:v>
      </x:c>
      <x:c r="B33" s="22" t="str">
        <x:v>제품·용기 분리 기준</x:v>
      </x:c>
      <x:c r="C33" s="22" t="str">
        <x:v>미확인</x:v>
      </x:c>
      <x:c r="D33" s="22" t="n">
        <x:v>1</x:v>
      </x:c>
      <x:c r="E33" s="22" t="str">
        <x:v>-</x:v>
      </x:c>
      <x:c r="F33" s="28" t="n">
        <x:v>0</x:v>
      </x:c>
      <x:c r="G33" s="22" t="str">
        <x:v>별도 확인</x:v>
      </x:c>
      <x:c r="H33" s="22" t="str">
        <x:v>운영폐기물</x:v>
      </x:c>
      <x:c r="I33" s="22" t="str">
        <x:v>대관처/제품정책</x:v>
      </x:c>
      <x:c r="J33" s="22" t="str">
        <x:v>대량폐기 전문업체</x:v>
      </x:c>
      <x:c r="K33" s="22" t="str"/>
    </x:row>
    <x:row r="34">
      <x:c r="A34" s="22" t="str">
        <x:v>대량 폐기물</x:v>
      </x:c>
      <x:c r="B34" s="22" t="str">
        <x:v>발생 시 전문업체</x:v>
      </x:c>
      <x:c r="C34" s="22" t="str">
        <x:v>정식견적</x:v>
      </x:c>
      <x:c r="D34" s="22" t="n">
        <x:v>1</x:v>
      </x:c>
      <x:c r="E34" s="22" t="str">
        <x:v>-</x:v>
      </x:c>
      <x:c r="F34" s="28" t="n">
        <x:v>0</x:v>
      </x:c>
      <x:c r="G34" s="22" t="str">
        <x:v>발생 시</x:v>
      </x:c>
      <x:c r="H34" s="22" t="str">
        <x:v>운영폐기물</x:v>
      </x:c>
      <x:c r="I34" s="22" t="str">
        <x:v>전문업체</x:v>
      </x:c>
      <x:c r="J34" s="22" t="str">
        <x:v>시공폐기물=5번</x:v>
      </x:c>
      <x:c r="K34" s="22" t="str"/>
    </x:row>
    <x:row r="36" ht="24" customHeight="1">
      <x:c r="A36" s="26" t="str">
        <x:v>10-6. 긴급 퀵·추가 물류</x:v>
      </x:c>
    </x:row>
    <x:row r="37">
      <x:c r="A37" s="18" t="str">
        <x:v>상황</x:v>
      </x:c>
      <x:c r="B37" s="18" t="str">
        <x:v>처리 방식</x:v>
      </x:c>
      <x:c r="C37" s="18" t="str">
        <x:v>기준 업체</x:v>
      </x:c>
      <x:c r="D37" s="18" t="str">
        <x:v>가격 기준</x:v>
      </x:c>
      <x:c r="E37" s="18" t="str">
        <x:v>반영액</x:v>
      </x:c>
      <x:c r="F37" s="18" t="str">
        <x:v>상태</x:v>
      </x:c>
      <x:c r="G37" s="18" t="str">
        <x:v>발생 시점</x:v>
      </x:c>
      <x:c r="H37" s="18" t="str">
        <x:v>예비비 사용</x:v>
      </x:c>
      <x:c r="I37" s="18" t="str">
        <x:v>대안</x:v>
      </x:c>
      <x:c r="J37" s="18" t="str">
        <x:v>비고</x:v>
      </x:c>
      <x:c r="K37" s="18" t="str">
        <x:v>출처</x:v>
      </x:c>
    </x:row>
    <x:row r="38">
      <x:c r="A38" s="22" t="str">
        <x:v>팸플릿/샘플 부족</x:v>
      </x:c>
      <x:c r="B38" s="22" t="str">
        <x:v>긴급 퀵</x:v>
      </x:c>
      <x:c r="C38" s="22" t="str">
        <x:v>실제 퀵업체</x:v>
      </x:c>
      <x:c r="D38" s="22" t="str">
        <x:v>거리별 실비</x:v>
      </x:c>
      <x:c r="E38" s="28" t="n">
        <x:v>0</x:v>
      </x:c>
      <x:c r="F38" s="22" t="str">
        <x:v>발생 시</x:v>
      </x:c>
      <x:c r="G38" s="22" t="str">
        <x:v>운영중</x:v>
      </x:c>
      <x:c r="H38" s="22" t="str">
        <x:v>가능</x:v>
      </x:c>
      <x:c r="I38" s="22" t="str">
        <x:v>사전 안전재고</x:v>
      </x:c>
      <x:c r="J38" s="22" t="str"/>
      <x:c r="K38" s="22" t="str"/>
    </x:row>
    <x:row r="39">
      <x:c r="A39" s="22" t="str">
        <x:v>추가 1톤 차량</x:v>
      </x:c>
      <x:c r="B39" s="22" t="str">
        <x:v>센디 실제거리 견적</x:v>
      </x:c>
      <x:c r="C39" s="22" t="str">
        <x:v>센디</x:v>
      </x:c>
      <x:c r="D39" s="22" t="str">
        <x:v>실거리·시간대</x:v>
      </x:c>
      <x:c r="E39" s="28" t="n">
        <x:v>0</x:v>
      </x:c>
      <x:c r="F39" s="22" t="str">
        <x:v>발생 시</x:v>
      </x:c>
      <x:c r="G39" s="22" t="str">
        <x:v>운영중</x:v>
      </x:c>
      <x:c r="H39" s="22" t="str">
        <x:v>가능</x:v>
      </x:c>
      <x:c r="I39" s="22" t="str"/>
      <x:c r="J39" s="22" t="str"/>
      <x:c r="K39" s="22" t="str"/>
    </x:row>
    <x:row r="40">
      <x:c r="A40" s="22" t="str">
        <x:v>추가 인쇄물 배송</x:v>
      </x:c>
      <x:c r="B40" s="22" t="str">
        <x:v>7번 인쇄업체 배송</x:v>
      </x:c>
      <x:c r="C40" s="22" t="str">
        <x:v>나눔/레드프린팅</x:v>
      </x:c>
      <x:c r="D40" s="22" t="str">
        <x:v>실제 배송비</x:v>
      </x:c>
      <x:c r="E40" s="28" t="n">
        <x:v>0</x:v>
      </x:c>
      <x:c r="F40" s="22" t="str">
        <x:v>발생 시</x:v>
      </x:c>
      <x:c r="G40" s="22" t="str">
        <x:v>운영중</x:v>
      </x:c>
      <x:c r="H40" s="22" t="str">
        <x:v>가능</x:v>
      </x:c>
      <x:c r="I40" s="22" t="str"/>
      <x:c r="J40" s="22" t="str"/>
      <x:c r="K40" s="22" t="str"/>
    </x:row>
    <x:row r="42" ht="24" customHeight="1">
      <x:c r="A42" s="26" t="str">
        <x:v>10-7. 10번 최종 정리</x:v>
      </x:c>
    </x:row>
    <x:row r="43">
      <x:c r="A43" s="18" t="str">
        <x:v>품목</x:v>
      </x:c>
      <x:c r="B43" s="18" t="str">
        <x:v>기준 업체</x:v>
      </x:c>
      <x:c r="C43" s="18" t="str">
        <x:v>반영액</x:v>
      </x:c>
      <x:c r="D43" s="18" t="str">
        <x:v>미반영 비용</x:v>
      </x:c>
      <x:c r="E43" s="18" t="str">
        <x:v>상태</x:v>
      </x:c>
      <x:c r="F43" s="18" t="str">
        <x:v>계산 근거</x:v>
      </x:c>
      <x:c r="G43" s="18" t="str">
        <x:v>비고</x:v>
      </x:c>
      <x:c r="H43" s="18" t="str">
        <x:v>추가 액션</x:v>
      </x:c>
      <x:c r="I43" s="18" t="str">
        <x:v>담당</x:v>
      </x:c>
      <x:c r="J43" s="18" t="str">
        <x:v>완료</x:v>
      </x:c>
      <x:c r="K43" s="18" t="str">
        <x:v>메모</x:v>
      </x:c>
    </x:row>
    <x:row r="44">
      <x:c r="A44" s="22" t="str">
        <x:v>제품·샘플 물류2회</x:v>
      </x:c>
      <x:c r="B44" s="22" t="str">
        <x:v>센디</x:v>
      </x:c>
      <x:c r="C44" s="28" t="n">
        <x:v>108000</x:v>
      </x:c>
      <x:c r="D44" s="22" t="str">
        <x:v>실거리/탑차 추가비</x:v>
      </x:c>
      <x:c r="E44" s="22" t="str">
        <x:v>공개 시작가</x:v>
      </x:c>
      <x:c r="F44" s="22" t="str">
        <x:v>54,000×2</x:v>
      </x:c>
      <x:c r="G44" s="22" t="str"/>
      <x:c r="H44" s="22" t="str"/>
      <x:c r="I44" s="22" t="str"/>
      <x:c r="J44" s="22" t="str"/>
      <x:c r="K44" s="22" t="str"/>
    </x:row>
    <x:row r="45">
      <x:c r="A45" s="22" t="str">
        <x:v>일일 현장 청소</x:v>
      </x:c>
      <x:c r="B45" s="22" t="str">
        <x:v>미소</x:v>
      </x:c>
      <x:c r="C45" s="28" t="n">
        <x:v>689000</x:v>
      </x:c>
      <x:c r="D45" s="22" t="str">
        <x:v>청소도구/접수가능 여부</x:v>
      </x:c>
      <x:c r="E45" s="22" t="str">
        <x:v>공개가격</x:v>
      </x:c>
      <x:c r="F45" s="22" t="str">
        <x:v>68,900×10</x:v>
      </x:c>
      <x:c r="G45" s="22" t="str"/>
      <x:c r="H45" s="22" t="str"/>
      <x:c r="I45" s="22" t="str"/>
      <x:c r="J45" s="22" t="str"/>
      <x:c r="K45" s="22" t="str"/>
    </x:row>
    <x:row r="46">
      <x:c r="A46" s="22" t="str">
        <x:v>무전기8대×11일</x:v>
      </x:c>
      <x:c r="B46" s="22" t="str">
        <x:v>하나통신</x:v>
      </x:c>
      <x:c r="C46" s="28" t="n">
        <x:v>484000</x:v>
      </x:c>
      <x:c r="D46" s="22" t="str">
        <x:v>이어마이크 옵션</x:v>
      </x:c>
      <x:c r="E46" s="22" t="str">
        <x:v>공개가격</x:v>
      </x:c>
      <x:c r="F46" s="22" t="str">
        <x:v>5,500×8×11</x:v>
      </x:c>
      <x:c r="G46" s="22" t="str"/>
      <x:c r="H46" s="22" t="str"/>
      <x:c r="I46" s="22" t="str"/>
      <x:c r="J46" s="22" t="str"/>
      <x:c r="K46" s="22" t="str"/>
    </x:row>
    <x:row r="47">
      <x:c r="A47" s="22" t="str">
        <x:v>현장 인터넷</x:v>
      </x:c>
      <x:c r="B47" s="22" t="str">
        <x:v>대관처/통신사</x:v>
      </x:c>
      <x:c r="C47" s="28" t="n">
        <x:v>0</x:v>
      </x:c>
      <x:c r="D47" s="22" t="str">
        <x:v>Wi-Fi/라우터</x:v>
      </x:c>
      <x:c r="E47" s="22" t="str">
        <x:v>별도 확인</x:v>
      </x:c>
      <x:c r="F47" s="22" t="str">
        <x:v>-</x:v>
      </x:c>
      <x:c r="G47" s="22" t="str"/>
      <x:c r="H47" s="22" t="str"/>
      <x:c r="I47" s="22" t="str"/>
      <x:c r="J47" s="22" t="str"/>
      <x:c r="K47" s="22" t="str"/>
    </x:row>
    <x:row r="48">
      <x:c r="A48" s="22" t="str">
        <x:v>폐기물</x:v>
      </x:c>
      <x:c r="B48" s="22" t="str">
        <x:v>대관처</x:v>
      </x:c>
      <x:c r="C48" s="28" t="n">
        <x:v>0</x:v>
      </x:c>
      <x:c r="D48" s="22" t="str">
        <x:v>일상 폐기물</x:v>
      </x:c>
      <x:c r="E48" s="22" t="str">
        <x:v>별도 확인</x:v>
      </x:c>
      <x:c r="F48" s="22" t="str">
        <x:v>-</x:v>
      </x:c>
      <x:c r="G48" s="22" t="str"/>
      <x:c r="H48" s="22" t="str"/>
      <x:c r="I48" s="22" t="str"/>
      <x:c r="J48" s="22" t="str"/>
      <x:c r="K48" s="22" t="str"/>
    </x:row>
    <x:row r="49">
      <x:c r="A49" s="22" t="str">
        <x:v>긴급 퀵·추가운송</x:v>
      </x:c>
      <x:c r="B49" s="22" t="str">
        <x:v>실비</x:v>
      </x:c>
      <x:c r="C49" s="28" t="n">
        <x:v>0</x:v>
      </x:c>
      <x:c r="D49" s="22" t="str">
        <x:v>발생 시</x:v>
      </x:c>
      <x:c r="E49" s="22" t="str">
        <x:v>별도</x:v>
      </x:c>
      <x:c r="F49" s="22" t="str">
        <x:v>-</x:v>
      </x:c>
      <x:c r="G49" s="22" t="str"/>
      <x:c r="H49" s="22" t="str"/>
      <x:c r="I49" s="22" t="str"/>
      <x:c r="J49" s="22" t="str"/>
      <x:c r="K49" s="22" t="str"/>
    </x:row>
    <x:row r="51">
      <x:c r="A51" s="30" t="str">
        <x:v>10번 현재 공개가격 기준 소계</x:v>
      </x:c>
      <x:c r="B51" s="30"/>
      <x:c r="C51" s="32" t="n">
        <x:f>SUM(C44:C49)</x:f>
        <x:v>1281000</x:v>
      </x:c>
      <x:c r="D51" s="30"/>
      <x:c r="E51" s="30"/>
      <x:c r="F51" s="30"/>
      <x:c r="G51" s="30"/>
      <x:c r="H51" s="30"/>
      <x:c r="I51" s="30"/>
      <x:c r="J51" s="30"/>
      <x:c r="K51" s="30"/>
    </x:row>
  </x:sheetData>
  <x:mergeCells>
    <x:mergeCell ref="A1:K1"/>
    <x:mergeCell ref="A3:K3"/>
    <x:mergeCell ref="A5:K5"/>
    <x:mergeCell ref="A10:E10"/>
    <x:mergeCell ref="A12:K12"/>
    <x:mergeCell ref="A18:K18"/>
    <x:mergeCell ref="A24:K24"/>
    <x:mergeCell ref="A30:K30"/>
    <x:mergeCell ref="A36:K36"/>
    <x:mergeCell ref="A42:K42"/>
    <x:mergeCell ref="A51:B5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32" hidden="0" customWidth="1"/>
    <x:col min="5" max="5" width="20" hidden="0" customWidth="1"/>
    <x:col min="6" max="6" width="26" hidden="0" customWidth="1"/>
    <x:col min="7" max="7" width="24" hidden="0" customWidth="1"/>
    <x:col min="8" max="8" width="22" hidden="0" customWidth="1"/>
    <x:col min="9" max="9" width="14" hidden="0" customWidth="1"/>
    <x:col min="10" max="10" width="12" hidden="0" customWidth="1"/>
    <x:col min="11" max="11" width="24" hidden="0" customWidth="1"/>
  </x:cols>
  <x:sheetData>
    <x:row r="1" ht="30" customHeight="1">
      <x:c r="A1" s="4" t="str">
        <x:v>11. 홍보·콘텐츠 제작비</x:v>
      </x:c>
    </x:row>
    <x:row r="3" ht="34" customHeight="1">
      <x:c r="A3" s="10" t="str">
        <x:v>외주는 사전 SNS 디자인·뷰티 인플루언서+메타광고·현장 사진+영상 3개 축으로 최소화. 옥외광고·지하철광고·셀럽은 1차안 제외.</x:v>
      </x:c>
    </x:row>
    <x:row r="5" ht="24" customHeight="1">
      <x:c r="A5" s="26" t="str">
        <x:v>11-1. 홍보 방향</x:v>
      </x:c>
    </x:row>
    <x:row r="6">
      <x:c r="A6" s="18" t="str">
        <x:v>구분</x:v>
      </x:c>
      <x:c r="B6" s="18" t="str">
        <x:v>내용</x:v>
      </x:c>
      <x:c r="C6" s="18" t="str">
        <x:v>참고 사례</x:v>
      </x:c>
      <x:c r="D6" s="18" t="str">
        <x:v>외주 여부</x:v>
      </x:c>
      <x:c r="E6" s="18" t="str">
        <x:v>비용 반영</x:v>
      </x:c>
      <x:c r="F6" s="18" t="str">
        <x:v>이유</x:v>
      </x:c>
      <x:c r="G6" s="18" t="str">
        <x:v>핵심 메시지</x:v>
      </x:c>
      <x:c r="H6" s="18" t="str">
        <x:v>운영주체</x:v>
      </x:c>
      <x:c r="I6" s="18" t="str">
        <x:v>상태</x:v>
      </x:c>
      <x:c r="J6" s="18" t="str">
        <x:v>비고</x:v>
      </x:c>
      <x:c r="K6" s="18" t="str">
        <x:v>출처</x:v>
      </x:c>
    </x:row>
    <x:row r="7">
      <x:c r="A7" s="22" t="str">
        <x:v>사전 SNS 홍보</x:v>
      </x:c>
      <x:c r="B7" s="22" t="str">
        <x:v>오픈·위치·피부진단·4라인·예약·혜택</x:v>
      </x:c>
      <x:c r="C7" s="22" t="str">
        <x:v>미쟝센/키엘/주미소</x:v>
      </x:c>
      <x:c r="D7" s="22" t="str">
        <x:v>외주</x:v>
      </x:c>
      <x:c r="E7" s="28" t="n">
        <x:v>180000</x:v>
      </x:c>
      <x:c r="F7" s="22" t="str">
        <x:v>오픈 전 정보전달</x:v>
      </x:c>
      <x:c r="G7" s="22" t="str">
        <x:v>내 피부에 맞는 루틴을 찾아가는 스킨케어 지하철</x:v>
      </x:c>
      <x:c r="H7" s="22" t="str">
        <x:v>브랜드+디자이너</x:v>
      </x:c>
      <x:c r="I7" s="22" t="str">
        <x:v>반영</x:v>
      </x:c>
      <x:c r="J7" s="22" t="str"/>
      <x:c r="K7" s="22" t="str"/>
    </x:row>
    <x:row r="8">
      <x:c r="A8" s="22" t="str">
        <x:v>인플루언서+광고</x:v>
      </x:c>
      <x:c r="B8" s="22" t="str">
        <x:v>뷰티 마이크로 인플루언서+메타</x:v>
      </x:c>
      <x:c r="C8" s="22" t="str">
        <x:v>뷰티 체험단</x:v>
      </x:c>
      <x:c r="D8" s="22" t="str">
        <x:v>외주</x:v>
      </x:c>
      <x:c r="E8" s="28" t="n">
        <x:v>569525</x:v>
      </x:c>
      <x:c r="F8" s="22" t="str">
        <x:v>초기 유입</x:v>
      </x:c>
      <x:c r="G8" s="22" t="str">
        <x:v>진단+맞춤루틴 체험</x:v>
      </x:c>
      <x:c r="H8" s="22" t="str">
        <x:v>대행업체</x:v>
      </x:c>
      <x:c r="I8" s="22" t="str">
        <x:v>반영</x:v>
      </x:c>
      <x:c r="J8" s="22" t="str"/>
      <x:c r="K8" s="22" t="str"/>
    </x:row>
    <x:row r="9">
      <x:c r="A9" s="22" t="str">
        <x:v>현장 기록</x:v>
      </x:c>
      <x:c r="B9" s="22" t="str">
        <x:v>오픈일 사진+영상</x:v>
      </x:c>
      <x:c r="C9" s="22" t="str">
        <x:v>공간 SNS 확산 사례</x:v>
      </x:c>
      <x:c r="D9" s="22" t="str">
        <x:v>외주</x:v>
      </x:c>
      <x:c r="E9" s="28" t="n">
        <x:v>836000</x:v>
      </x:c>
      <x:c r="F9" s="22" t="str">
        <x:v>포트폴리오/후속 홍보 자산</x:v>
      </x:c>
      <x:c r="G9" s="22" t="str">
        <x:v>공간+고객경험</x:v>
      </x:c>
      <x:c r="H9" s="22" t="str">
        <x:v>촬영팀</x:v>
      </x:c>
      <x:c r="I9" s="22" t="str">
        <x:v>반영</x:v>
      </x:c>
      <x:c r="J9" s="22" t="str"/>
      <x:c r="K9" s="22" t="str"/>
    </x:row>
    <x:row r="12" ht="24" customHeight="1">
      <x:c r="A12" s="26" t="str">
        <x:v>11-2. 사전 SNS 홍보 콘텐츠</x:v>
      </x:c>
    </x:row>
    <x:row r="13">
      <x:c r="A13" s="18" t="str">
        <x:v>항목</x:v>
      </x:c>
      <x:c r="B13" s="18" t="str">
        <x:v>기준 회사/상품</x:v>
      </x:c>
      <x:c r="C13" s="18" t="str">
        <x:v>공개가격</x:v>
      </x:c>
      <x:c r="D13" s="18" t="str">
        <x:v>수량</x:v>
      </x:c>
      <x:c r="E13" s="18" t="str">
        <x:v>계산</x:v>
      </x:c>
      <x:c r="F13" s="18" t="str">
        <x:v>반영액</x:v>
      </x:c>
      <x:c r="G13" s="18" t="str">
        <x:v>상태</x:v>
      </x:c>
      <x:c r="H13" s="18" t="str">
        <x:v>포함</x:v>
      </x:c>
      <x:c r="I13" s="18" t="str">
        <x:v>추가 확인</x:v>
      </x:c>
      <x:c r="J13" s="18" t="str">
        <x:v>비고</x:v>
      </x:c>
      <x:c r="K13" s="18" t="str">
        <x:v>출처 URL</x:v>
      </x:c>
    </x:row>
    <x:row r="14">
      <x:c r="A14" s="22" t="str">
        <x:v>SNS 광고소재·카드뉴스</x:v>
      </x:c>
      <x:c r="B14" s="22" t="str">
        <x:v>밍글디자인 PREMIUM</x:v>
      </x:c>
      <x:c r="C14" s="22" t="str">
        <x:v>180,000원/10장</x:v>
      </x:c>
      <x:c r="D14" s="22" t="n">
        <x:v>10</x:v>
      </x:c>
      <x:c r="E14" s="22" t="str">
        <x:v>1세트</x:v>
      </x:c>
      <x:c r="F14" s="28" t="n">
        <x:v>180000</x:v>
      </x:c>
      <x:c r="G14" s="22" t="str">
        <x:v>공개가격</x:v>
      </x:c>
      <x:c r="H14" s="22" t="str">
        <x:v>원본파일+수정2회</x:v>
      </x:c>
      <x:c r="I14" s="22" t="str">
        <x:v>크몽 결제수수료</x:v>
      </x:c>
      <x:c r="J14" s="22" t="str">
        <x:v>메인 비주얼 재가공</x:v>
      </x:c>
      <x:c r="K14" s="22" t="str">
        <x:v>https://kmong.com/gig/579046</x:v>
      </x:c>
    </x:row>
    <x:row r="17" ht="24" customHeight="1">
      <x:c r="A17" s="26" t="str">
        <x:v>11-3. 뷰티 인플루언서 + 메타 광고</x:v>
      </x:c>
    </x:row>
    <x:row r="18">
      <x:c r="A18" s="18" t="str">
        <x:v>상품</x:v>
      </x:c>
      <x:c r="B18" s="18" t="str">
        <x:v>팔로워 규모</x:v>
      </x:c>
      <x:c r="C18" s="18" t="str">
        <x:v>인원</x:v>
      </x:c>
      <x:c r="D18" s="18" t="str">
        <x:v>메타광고</x:v>
      </x:c>
      <x:c r="E18" s="18" t="str">
        <x:v>공개가격</x:v>
      </x:c>
      <x:c r="F18" s="18" t="str">
        <x:v>수수료</x:v>
      </x:c>
      <x:c r="G18" s="18" t="str">
        <x:v>최종 반영액</x:v>
      </x:c>
      <x:c r="H18" s="18" t="str">
        <x:v>상태</x:v>
      </x:c>
      <x:c r="I18" s="18" t="str">
        <x:v>선정/비교</x:v>
      </x:c>
      <x:c r="J18" s="18" t="str">
        <x:v>주의</x:v>
      </x:c>
      <x:c r="K18" s="18" t="str">
        <x:v>출처 URL</x:v>
      </x:c>
    </x:row>
    <x:row r="19">
      <x:c r="A19" s="22" t="str">
        <x:v>인플루언서수오 STANDARD</x:v>
      </x:c>
      <x:c r="B19" s="22" t="str">
        <x:v>5K~10K</x:v>
      </x:c>
      <x:c r="C19" s="22" t="n">
        <x:v>5</x:v>
      </x:c>
      <x:c r="D19" s="22" t="str">
        <x:v>1주 포함</x:v>
      </x:c>
      <x:c r="E19" s="28" t="n">
        <x:v>545000</x:v>
      </x:c>
      <x:c r="F19" s="28" t="n">
        <x:v>24525</x:v>
      </x:c>
      <x:c r="G19" s="28" t="n">
        <x:v>569525</x:v>
      </x:c>
      <x:c r="H19" s="22" t="str">
        <x:v>공개가격 계산</x:v>
      </x:c>
      <x:c r="I19" s="22" t="str">
        <x:v>선정</x:v>
      </x:c>
      <x:c r="J19" s="22" t="str">
        <x:v>매체비 포함인지 확인</x:v>
      </x:c>
      <x:c r="K19" s="22" t="str">
        <x:v>https://kmong.com/gig/648691</x:v>
      </x:c>
    </x:row>
    <x:row r="20">
      <x:c r="A20" s="22" t="str">
        <x:v>인플루언서수오 DELUXE</x:v>
      </x:c>
      <x:c r="B20" s="22" t="str">
        <x:v>10K~30K</x:v>
      </x:c>
      <x:c r="C20" s="22" t="n">
        <x:v>5</x:v>
      </x:c>
      <x:c r="D20" s="22" t="str">
        <x:v>1주 포함</x:v>
      </x:c>
      <x:c r="E20" s="28" t="n">
        <x:v>745000</x:v>
      </x:c>
      <x:c r="F20" s="28" t="n">
        <x:v>0</x:v>
      </x:c>
      <x:c r="G20" s="28" t="n">
        <x:v>0</x:v>
      </x:c>
      <x:c r="H20" s="22" t="str">
        <x:v>비교용</x:v>
      </x:c>
      <x:c r="I20" s="22" t="str">
        <x:v>미선정</x:v>
      </x:c>
      <x:c r="J20" s="22" t="str">
        <x:v>비용↑</x:v>
      </x:c>
      <x:c r="K20" s="22" t="str">
        <x:v>https://kmong.com/gig/648691</x:v>
      </x:c>
    </x:row>
    <x:row r="21">
      <x:c r="A21" s="22" t="str">
        <x:v>인플루언서수오 PREMIUM</x:v>
      </x:c>
      <x:c r="B21" s="22" t="str">
        <x:v>30K 이상</x:v>
      </x:c>
      <x:c r="C21" s="22" t="n">
        <x:v>5</x:v>
      </x:c>
      <x:c r="D21" s="22" t="str">
        <x:v>1주 포함</x:v>
      </x:c>
      <x:c r="E21" s="28" t="n">
        <x:v>1045000</x:v>
      </x:c>
      <x:c r="F21" s="28" t="n">
        <x:v>0</x:v>
      </x:c>
      <x:c r="G21" s="28" t="n">
        <x:v>0</x:v>
      </x:c>
      <x:c r="H21" s="22" t="str">
        <x:v>비교용</x:v>
      </x:c>
      <x:c r="I21" s="22" t="str">
        <x:v>미선정</x:v>
      </x:c>
      <x:c r="J21" s="22" t="str">
        <x:v>비용↑</x:v>
      </x:c>
      <x:c r="K21" s="22" t="str">
        <x:v>https://kmong.com/gig/648691</x:v>
      </x:c>
    </x:row>
    <x:row r="24" ht="24" customHeight="1">
      <x:c r="A24" s="26" t="str">
        <x:v>11-4. 팝업 현장 사진 + 영상 촬영</x:v>
      </x:c>
    </x:row>
    <x:row r="25">
      <x:c r="A25" s="18" t="str">
        <x:v>상품</x:v>
      </x:c>
      <x:c r="B25" s="18" t="str">
        <x:v>구성</x:v>
      </x:c>
      <x:c r="C25" s="18" t="str">
        <x:v>촬영시간</x:v>
      </x:c>
      <x:c r="D25" s="18" t="str">
        <x:v>공개가격</x:v>
      </x:c>
      <x:c r="E25" s="18" t="str">
        <x:v>수수료</x:v>
      </x:c>
      <x:c r="F25" s="18" t="str">
        <x:v>반영액</x:v>
      </x:c>
      <x:c r="G25" s="18" t="str">
        <x:v>상태</x:v>
      </x:c>
      <x:c r="H25" s="18" t="str">
        <x:v>선정/비교</x:v>
      </x:c>
      <x:c r="I25" s="18" t="str">
        <x:v>촬영 범위</x:v>
      </x:c>
      <x:c r="J25" s="18" t="str">
        <x:v>주의</x:v>
      </x:c>
      <x:c r="K25" s="18" t="str">
        <x:v>출처 URL</x:v>
      </x:c>
    </x:row>
    <x:row r="26">
      <x:c r="A26" s="22" t="str">
        <x:v>어스웜컬처스 STANDARD</x:v>
      </x:c>
      <x:c r="B26" s="22" t="str">
        <x:v>영상 촬영·원본</x:v>
      </x:c>
      <x:c r="C26" s="22" t="str">
        <x:v>3시간</x:v>
      </x:c>
      <x:c r="D26" s="28" t="n">
        <x:v>300000</x:v>
      </x:c>
      <x:c r="E26" s="28" t="n">
        <x:v>0</x:v>
      </x:c>
      <x:c r="F26" s="28" t="n">
        <x:v>0</x:v>
      </x:c>
      <x:c r="G26" s="22" t="str">
        <x:v>비교용</x:v>
      </x:c>
      <x:c r="H26" s="22" t="str">
        <x:v>미선정</x:v>
      </x:c>
      <x:c r="I26" s="22" t="str">
        <x:v>현장 영상</x:v>
      </x:c>
      <x:c r="J26" s="22" t="str">
        <x:v>편집/사진 없음</x:v>
      </x:c>
      <x:c r="K26" s="22" t="str">
        <x:v>https://kmong.com/gig/656120</x:v>
      </x:c>
    </x:row>
    <x:row r="27">
      <x:c r="A27" s="22" t="str">
        <x:v>어스웜컬처스 DELUXE</x:v>
      </x:c>
      <x:c r="B27" s="22" t="str">
        <x:v>영상 촬영+3~5분 편집</x:v>
      </x:c>
      <x:c r="C27" s="22" t="str">
        <x:v>3시간</x:v>
      </x:c>
      <x:c r="D27" s="28" t="n">
        <x:v>450000</x:v>
      </x:c>
      <x:c r="E27" s="28" t="n">
        <x:v>0</x:v>
      </x:c>
      <x:c r="F27" s="28" t="n">
        <x:v>0</x:v>
      </x:c>
      <x:c r="G27" s="22" t="str">
        <x:v>비교용</x:v>
      </x:c>
      <x:c r="H27" s="22" t="str">
        <x:v>미선정</x:v>
      </x:c>
      <x:c r="I27" s="22" t="str">
        <x:v>현장 영상</x:v>
      </x:c>
      <x:c r="J27" s="22" t="str">
        <x:v>스틸사진 별도</x:v>
      </x:c>
      <x:c r="K27" s="22" t="str">
        <x:v>https://kmong.com/gig/656120</x:v>
      </x:c>
    </x:row>
    <x:row r="28">
      <x:c r="A28" s="22" t="str">
        <x:v>어스웜컬처스 PREMIUM</x:v>
      </x:c>
      <x:c r="B28" s="22" t="str">
        <x:v>영상 촬영+편집+스틸사진</x:v>
      </x:c>
      <x:c r="C28" s="22" t="str">
        <x:v>3시간</x:v>
      </x:c>
      <x:c r="D28" s="28" t="n">
        <x:v>800000</x:v>
      </x:c>
      <x:c r="E28" s="28" t="n">
        <x:v>36000</x:v>
      </x:c>
      <x:c r="F28" s="28" t="n">
        <x:v>836000</x:v>
      </x:c>
      <x:c r="G28" s="22" t="str">
        <x:v>공개가격 계산</x:v>
      </x:c>
      <x:c r="H28" s="22" t="str">
        <x:v>선정</x:v>
      </x:c>
      <x:c r="I28" s="22" t="str">
        <x:v>파사드·웨이팅·진단·루틴·완성·포토존·고객·전경</x:v>
      </x:c>
      <x:c r="J28" s="22" t="str">
        <x:v>오픈 첫날3시간</x:v>
      </x:c>
      <x:c r="K28" s="22" t="str">
        <x:v>https://kmong.com/gig/656120</x:v>
      </x:c>
    </x:row>
    <x:row r="31" ht="24" customHeight="1">
      <x:c r="A31" s="26" t="str">
        <x:v>11-5. 별도 PR·옥외광고</x:v>
      </x:c>
    </x:row>
    <x:row r="32">
      <x:c r="A32" s="18" t="str">
        <x:v>항목</x:v>
      </x:c>
      <x:c r="B32" s="18" t="str">
        <x:v>처리</x:v>
      </x:c>
      <x:c r="C32" s="18" t="str">
        <x:v>반영액</x:v>
      </x:c>
      <x:c r="D32" s="18" t="str">
        <x:v>이유</x:v>
      </x:c>
      <x:c r="E32" s="18" t="str">
        <x:v>대체 전략</x:v>
      </x:c>
      <x:c r="F32" s="18" t="str">
        <x:v>상태</x:v>
      </x:c>
      <x:c r="G32" s="18" t="str">
        <x:v>향후 조건</x:v>
      </x:c>
      <x:c r="H32" s="18" t="str">
        <x:v>비고</x:v>
      </x:c>
      <x:c r="I32" s="18" t="str">
        <x:v>기준 회사</x:v>
      </x:c>
      <x:c r="J32" s="18" t="str">
        <x:v>가격</x:v>
      </x:c>
      <x:c r="K32" s="18" t="str">
        <x:v>출처</x:v>
      </x:c>
    </x:row>
    <x:row r="33">
      <x:c r="A33" s="22" t="str">
        <x:v>언론 보도자료 대행</x:v>
      </x:c>
      <x:c r="B33" s="22" t="str">
        <x:v>미집행</x:v>
      </x:c>
      <x:c r="C33" s="28" t="n">
        <x:v>0</x:v>
      </x:c>
      <x:c r="D33" s="22" t="str">
        <x:v>최소비용안</x:v>
      </x:c>
      <x:c r="E33" s="22" t="str">
        <x:v>브랜드 직접 PR</x:v>
      </x:c>
      <x:c r="F33" s="22" t="str">
        <x:v>제외</x:v>
      </x:c>
      <x:c r="G33" s="22" t="str">
        <x:v>필요 시 재검토</x:v>
      </x:c>
      <x:c r="H33" s="22" t="str"/>
      <x:c r="I33" s="22" t="str"/>
      <x:c r="J33" s="22" t="str"/>
      <x:c r="K33" s="22" t="str"/>
    </x:row>
    <x:row r="34">
      <x:c r="A34" s="22" t="str">
        <x:v>성수 옥외광고</x:v>
      </x:c>
      <x:c r="B34" s="22" t="str">
        <x:v>미집행</x:v>
      </x:c>
      <x:c r="C34" s="28" t="n">
        <x:v>0</x:v>
      </x:c>
      <x:c r="D34" s="22" t="str">
        <x:v>공간 자체확산 우선</x:v>
      </x:c>
      <x:c r="E34" s="22" t="str">
        <x:v>인스타/인플루언서 집중</x:v>
      </x:c>
      <x:c r="F34" s="22" t="str">
        <x:v>제외</x:v>
      </x:c>
      <x:c r="G34" s="22" t="str">
        <x:v>유입 부족 시</x:v>
      </x:c>
      <x:c r="H34" s="22" t="str"/>
      <x:c r="I34" s="22" t="str"/>
      <x:c r="J34" s="22" t="str"/>
      <x:c r="K34" s="22" t="str"/>
    </x:row>
    <x:row r="35">
      <x:c r="A35" s="22" t="str">
        <x:v>지하철 광고</x:v>
      </x:c>
      <x:c r="B35" s="22" t="str">
        <x:v>미집행</x:v>
      </x:c>
      <x:c r="C35" s="28" t="n">
        <x:v>0</x:v>
      </x:c>
      <x:c r="D35" s="22" t="str">
        <x:v>고비용 매체 제외</x:v>
      </x:c>
      <x:c r="E35" s="22" t="str">
        <x:v>지하철 콘셉트는 공간 구현</x:v>
      </x:c>
      <x:c r="F35" s="22" t="str">
        <x:v>제외</x:v>
      </x:c>
      <x:c r="G35" s="22" t="str">
        <x:v>예산 확대 시</x:v>
      </x:c>
      <x:c r="H35" s="22" t="str"/>
      <x:c r="I35" s="22" t="str"/>
      <x:c r="J35" s="22" t="str"/>
      <x:c r="K35" s="22" t="str"/>
    </x:row>
    <x:row r="36">
      <x:c r="A36" s="22" t="str">
        <x:v>대형 셀럽 초청</x:v>
      </x:c>
      <x:c r="B36" s="22" t="str">
        <x:v>미집행</x:v>
      </x:c>
      <x:c r="C36" s="28" t="n">
        <x:v>0</x:v>
      </x:c>
      <x:c r="D36" s="22" t="str">
        <x:v>고비용</x:v>
      </x:c>
      <x:c r="E36" s="22" t="str">
        <x:v>마이크로 인플루언서5명</x:v>
      </x:c>
      <x:c r="F36" s="22" t="str">
        <x:v>제외</x:v>
      </x:c>
      <x:c r="G36" s="22" t="str">
        <x:v>캠페인 확대 시</x:v>
      </x:c>
      <x:c r="H36" s="22" t="str"/>
      <x:c r="I36" s="22" t="str"/>
      <x:c r="J36" s="22" t="str"/>
      <x:c r="K36" s="22" t="str"/>
    </x:row>
    <x:row r="37">
      <x:c r="A37" s="22" t="str">
        <x:v>별도 SNS 운영대행</x:v>
      </x:c>
      <x:c r="B37" s="22" t="str">
        <x:v>브랜드 내부 운영</x:v>
      </x:c>
      <x:c r="C37" s="28" t="n">
        <x:v>0</x:v>
      </x:c>
      <x:c r="D37" s="22" t="str">
        <x:v>상시 외주비 절감</x:v>
      </x:c>
      <x:c r="E37" s="22" t="str">
        <x:v>내부 채널 활용</x:v>
      </x:c>
      <x:c r="F37" s="22" t="str">
        <x:v>제외</x:v>
      </x:c>
      <x:c r="G37" s="22" t="str">
        <x:v>리소스 부족 시</x:v>
      </x:c>
      <x:c r="H37" s="22" t="str"/>
      <x:c r="I37" s="22" t="str"/>
      <x:c r="J37" s="22" t="str"/>
      <x:c r="K37" s="22" t="str"/>
    </x:row>
    <x:row r="40" ht="24" customHeight="1">
      <x:c r="A40" s="26" t="str">
        <x:v>11-6. 11번 최종 정리</x:v>
      </x:c>
    </x:row>
    <x:row r="41">
      <x:c r="A41" s="18" t="str">
        <x:v>품목</x:v>
      </x:c>
      <x:c r="B41" s="18" t="str">
        <x:v>기준 업체</x:v>
      </x:c>
      <x:c r="C41" s="18" t="str">
        <x:v>반영액</x:v>
      </x:c>
      <x:c r="D41" s="18" t="str">
        <x:v>미반영/추가</x:v>
      </x:c>
      <x:c r="E41" s="18" t="str">
        <x:v>상태</x:v>
      </x:c>
      <x:c r="F41" s="18" t="str">
        <x:v>계산근거</x:v>
      </x:c>
      <x:c r="G41" s="18" t="str">
        <x:v>비고</x:v>
      </x:c>
      <x:c r="H41" s="18" t="str">
        <x:v>출처</x:v>
      </x:c>
      <x:c r="I41" s="18" t="str">
        <x:v>담당</x:v>
      </x:c>
      <x:c r="J41" s="18" t="str">
        <x:v>완료</x:v>
      </x:c>
      <x:c r="K41" s="18" t="str">
        <x:v>메모</x:v>
      </x:c>
    </x:row>
    <x:row r="42">
      <x:c r="A42" s="22" t="str">
        <x:v>SNS 홍보 콘텐츠10장</x:v>
      </x:c>
      <x:c r="B42" s="22" t="str">
        <x:v>밍글디자인</x:v>
      </x:c>
      <x:c r="C42" s="28" t="n">
        <x:v>180000</x:v>
      </x:c>
      <x:c r="D42" s="22" t="str">
        <x:v>플랫폼 수수료 확인</x:v>
      </x:c>
      <x:c r="E42" s="22" t="str">
        <x:v>공개가격</x:v>
      </x:c>
      <x:c r="F42" s="22" t="str">
        <x:v>10장 패키지</x:v>
      </x:c>
      <x:c r="G42" s="22" t="str"/>
      <x:c r="H42" s="22" t="str"/>
      <x:c r="I42" s="22" t="str"/>
      <x:c r="J42" s="22" t="str"/>
      <x:c r="K42" s="22" t="str"/>
    </x:row>
    <x:row r="43">
      <x:c r="A43" s="22" t="str">
        <x:v>뷰티 인플루언서5명+메타1주</x:v>
      </x:c>
      <x:c r="B43" s="22" t="str">
        <x:v>인플루언서수오</x:v>
      </x:c>
      <x:c r="C43" s="28" t="n">
        <x:v>569525</x:v>
      </x:c>
      <x:c r="D43" s="22" t="str">
        <x:v>광고 매체비 포함범위</x:v>
      </x:c>
      <x:c r="E43" s="22" t="str">
        <x:v>공개가격 계산</x:v>
      </x:c>
      <x:c r="F43" s="22" t="str">
        <x:v>545,000+4.5%</x:v>
      </x:c>
      <x:c r="G43" s="22" t="str"/>
      <x:c r="H43" s="22" t="str"/>
      <x:c r="I43" s="22" t="str"/>
      <x:c r="J43" s="22" t="str"/>
      <x:c r="K43" s="22" t="str"/>
    </x:row>
    <x:row r="44">
      <x:c r="A44" s="22" t="str">
        <x:v>현장 영상+사진 촬영</x:v>
      </x:c>
      <x:c r="B44" s="22" t="str">
        <x:v>어스웜컬처스</x:v>
      </x:c>
      <x:c r="C44" s="28" t="n">
        <x:v>836000</x:v>
      </x:c>
      <x:c r="D44" s="22" t="str">
        <x:v>추가 촬영 발생 시</x:v>
      </x:c>
      <x:c r="E44" s="22" t="str">
        <x:v>공개가격 계산</x:v>
      </x:c>
      <x:c r="F44" s="22" t="str">
        <x:v>800,000+4.5%</x:v>
      </x:c>
      <x:c r="G44" s="22" t="str"/>
      <x:c r="H44" s="22" t="str"/>
      <x:c r="I44" s="22" t="str"/>
      <x:c r="J44" s="22" t="str"/>
      <x:c r="K44" s="22" t="str"/>
    </x:row>
    <x:row r="45">
      <x:c r="A45" s="22" t="str">
        <x:v>언론/옥외/지하철/셀럽/운영대행</x:v>
      </x:c>
      <x:c r="B45" s="22" t="str">
        <x:v>미집행</x:v>
      </x:c>
      <x:c r="C45" s="28" t="n">
        <x:v>0</x:v>
      </x:c>
      <x:c r="D45" s="22" t="str"/>
      <x:c r="E45" s="22" t="str">
        <x:v>미집행</x:v>
      </x:c>
      <x:c r="F45" s="22" t="str">
        <x:v>-</x:v>
      </x:c>
      <x:c r="G45" s="22" t="str"/>
      <x:c r="H45" s="22" t="str"/>
      <x:c r="I45" s="22" t="str"/>
      <x:c r="J45" s="22" t="str"/>
      <x:c r="K45" s="22" t="str"/>
    </x:row>
    <x:row r="47">
      <x:c r="A47" s="30" t="str">
        <x:v>11번 현재 공개가격 기준 소계</x:v>
      </x:c>
      <x:c r="B47" s="30"/>
      <x:c r="C47" s="32" t="n">
        <x:f>SUM(C42:C45)</x:f>
        <x:v>1585525</x:v>
      </x:c>
      <x:c r="D47" s="30"/>
      <x:c r="E47" s="30"/>
      <x:c r="F47" s="30"/>
      <x:c r="G47" s="30"/>
      <x:c r="H47" s="30"/>
      <x:c r="I47" s="30"/>
      <x:c r="J47" s="30"/>
      <x:c r="K47" s="30"/>
    </x:row>
  </x:sheetData>
  <x:mergeCells>
    <x:mergeCell ref="A1:K1"/>
    <x:mergeCell ref="A3:K3"/>
    <x:mergeCell ref="A5:K5"/>
    <x:mergeCell ref="A12:K12"/>
    <x:mergeCell ref="A17:K17"/>
    <x:mergeCell ref="A24:K24"/>
    <x:mergeCell ref="A31:K31"/>
    <x:mergeCell ref="A40:K40"/>
    <x:mergeCell ref="A47:B4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32" hidden="0" customWidth="1"/>
    <x:col min="5" max="5" width="20" hidden="0" customWidth="1"/>
    <x:col min="6" max="6" width="26" hidden="0" customWidth="1"/>
    <x:col min="7" max="7" width="24" hidden="0" customWidth="1"/>
    <x:col min="8" max="8" width="28" hidden="0" customWidth="1"/>
    <x:col min="9" max="9" width="14" hidden="0" customWidth="1"/>
    <x:col min="10" max="10" width="12" hidden="0" customWidth="1"/>
    <x:col min="11" max="11" width="24" hidden="0" customWidth="1"/>
  </x:cols>
  <x:sheetData>
    <x:row r="1" ht="30" customHeight="1">
      <x:c r="A1" s="4" t="str">
        <x:v>12. 보험·안전·비상대응비</x:v>
      </x:c>
    </x:row>
    <x:row r="3" ht="34" customHeight="1">
      <x:c r="A3" s="10" t="str">
        <x:v>보험료는 행사 조건별로 산출되므로 임의 금액 금지. 공개가격 있는 안전용품만 반영하고 방염·전기 안전은 4번 시공과 중복되지 않게 확인.</x:v>
      </x:c>
    </x:row>
    <x:row r="5" ht="24" customHeight="1">
      <x:c r="A5" s="26" t="str">
        <x:v>12-1. 행사주최자 배상책임보험</x:v>
      </x:c>
    </x:row>
    <x:row r="6">
      <x:c r="A6" s="18" t="str">
        <x:v>항목</x:v>
      </x:c>
      <x:c r="B6" s="18" t="str">
        <x:v>기준 회사/상품</x:v>
      </x:c>
      <x:c r="C6" s="18" t="str">
        <x:v>가격 기준</x:v>
      </x:c>
      <x:c r="D6" s="18" t="str">
        <x:v>LUNEA 적용</x:v>
      </x:c>
      <x:c r="E6" s="18" t="str">
        <x:v>반영액</x:v>
      </x:c>
      <x:c r="F6" s="18" t="str">
        <x:v>상태</x:v>
      </x:c>
      <x:c r="G6" s="18" t="str">
        <x:v>보험기간</x:v>
      </x:c>
      <x:c r="H6" s="18" t="str">
        <x:v>방문객 기준</x:v>
      </x:c>
      <x:c r="I6" s="18" t="str">
        <x:v>주요 활동</x:v>
      </x:c>
      <x:c r="J6" s="18" t="str">
        <x:v>추가 확인</x:v>
      </x:c>
      <x:c r="K6" s="18" t="str">
        <x:v>출처/비고</x:v>
      </x:c>
    </x:row>
    <x:row r="7">
      <x:c r="A7" s="22" t="str">
        <x:v>행사 배상책임보험</x:v>
      </x:c>
      <x:c r="B7" s="22" t="str">
        <x:v>KB손해보험 / 행사주최자 배상책임</x:v>
      </x:c>
      <x:c r="C7" s="22" t="str">
        <x:v>행사 조건별 산출</x:v>
      </x:c>
      <x:c r="D7" s="22" t="str">
        <x:v>15일 전체기간</x:v>
      </x:c>
      <x:c r="E7" s="28" t="n">
        <x:v>0</x:v>
      </x:c>
      <x:c r="F7" s="22" t="str">
        <x:v>별도 견적</x:v>
      </x:c>
      <x:c r="G7" s="22" t="str">
        <x:v>15일</x:v>
      </x:c>
      <x:c r="H7" s="22" t="str">
        <x:v>3,100명</x:v>
      </x:c>
      <x:c r="I7" s="22" t="str">
        <x:v>피부진단·화장품 테스트·포토존</x:v>
      </x:c>
      <x:c r="J7" s="22" t="str">
        <x:v>보장한도/자기부담금</x:v>
      </x:c>
      <x:c r="K7" s="22" t="str">
        <x:v>KB·현대·DB 동일조건 비교</x:v>
      </x:c>
    </x:row>
    <x:row r="8">
      <x:c r="A8" s="22" t="str">
        <x:v>비교 견적</x:v>
      </x:c>
      <x:c r="B8" s="22" t="str">
        <x:v>현대해상·DB손해보험</x:v>
      </x:c>
      <x:c r="C8" s="22" t="str">
        <x:v>행사개요 제출 후 산출</x:v>
      </x:c>
      <x:c r="D8" s="22" t="str">
        <x:v>동일 조건 비교</x:v>
      </x:c>
      <x:c r="E8" s="28" t="n">
        <x:v>0</x:v>
      </x:c>
      <x:c r="F8" s="22" t="str">
        <x:v>별도 견적</x:v>
      </x:c>
      <x:c r="G8" s="22" t="str">
        <x:v>15일</x:v>
      </x:c>
      <x:c r="H8" s="22" t="str">
        <x:v>3,100명</x:v>
      </x:c>
      <x:c r="I8" s="22" t="str">
        <x:v>동일</x:v>
      </x:c>
      <x:c r="J8" s="22" t="str">
        <x:v>보험료/보장조건</x:v>
      </x:c>
      <x:c r="K8" s="22" t="str"/>
    </x:row>
    <x:row r="11" ht="24" customHeight="1">
      <x:c r="A11" s="26" t="str">
        <x:v>12-2. 구급함</x:v>
      </x:c>
    </x:row>
    <x:row r="12">
      <x:c r="A12" s="18" t="str">
        <x:v>상품</x:v>
      </x:c>
      <x:c r="B12" s="18" t="str">
        <x:v>기준 회사</x:v>
      </x:c>
      <x:c r="C12" s="18" t="str">
        <x:v>구성</x:v>
      </x:c>
      <x:c r="D12" s="18" t="str">
        <x:v>공개가격</x:v>
      </x:c>
      <x:c r="E12" s="18" t="str">
        <x:v>수량</x:v>
      </x:c>
      <x:c r="F12" s="18" t="str">
        <x:v>계산</x:v>
      </x:c>
      <x:c r="G12" s="18" t="str">
        <x:v>반영액</x:v>
      </x:c>
      <x:c r="H12" s="18" t="str">
        <x:v>상태</x:v>
      </x:c>
      <x:c r="I12" s="18" t="str">
        <x:v>선정/비교</x:v>
      </x:c>
      <x:c r="J12" s="18" t="str">
        <x:v>배송</x:v>
      </x:c>
      <x:c r="K12" s="18" t="str">
        <x:v>출처</x:v>
      </x:c>
    </x:row>
    <x:row r="13">
      <x:c r="A13" s="22" t="str">
        <x:v>스피드 3단 구급함 중형</x:v>
      </x:c>
      <x:c r="B13" s="22" t="str">
        <x:v>한양</x:v>
      </x:c>
      <x:c r="C13" s="22" t="str">
        <x:v>처치용품17종</x:v>
      </x:c>
      <x:c r="D13" s="28" t="n">
        <x:v>21390</x:v>
      </x:c>
      <x:c r="E13" s="22" t="n">
        <x:v>2</x:v>
      </x:c>
      <x:c r="F13" s="22" t="str">
        <x:v>21,390×2</x:v>
      </x:c>
      <x:c r="G13" s="28" t="n">
        <x:v>42780</x:v>
      </x:c>
      <x:c r="H13" s="22" t="str">
        <x:v>공개가격 계산</x:v>
      </x:c>
      <x:c r="I13" s="22" t="str">
        <x:v>선정</x:v>
      </x:c>
      <x:c r="J13" s="22" t="str">
        <x:v>무료 조건</x:v>
      </x:c>
      <x:c r="K13" s="22" t="str">
        <x:v>다나와 가격비교</x:v>
      </x:c>
    </x:row>
    <x:row r="14">
      <x:c r="A14" s="22" t="str">
        <x:v>비바A 스마트 구급함2호</x:v>
      </x:c>
      <x:c r="B14" s="22" t="str">
        <x:v>일진약품</x:v>
      </x:c>
      <x:c r="C14" s="22" t="str">
        <x:v>구급함 세트</x:v>
      </x:c>
      <x:c r="D14" s="28" t="n">
        <x:v>20470</x:v>
      </x:c>
      <x:c r="E14" s="22" t="n">
        <x:v>0</x:v>
      </x:c>
      <x:c r="F14" s="22" t="str">
        <x:v>-</x:v>
      </x:c>
      <x:c r="G14" s="28" t="n">
        <x:v>0</x:v>
      </x:c>
      <x:c r="H14" s="22" t="str">
        <x:v>비교용</x:v>
      </x:c>
      <x:c r="I14" s="22" t="str">
        <x:v>미선정</x:v>
      </x:c>
      <x:c r="J14" s="22" t="str"/>
      <x:c r="K14" s="22" t="str"/>
    </x:row>
    <x:row r="15">
      <x:c r="A15" s="22" t="str">
        <x:v>한양 대형 구급함</x:v>
      </x:c>
      <x:c r="B15" s="22" t="str">
        <x:v>한양</x:v>
      </x:c>
      <x:c r="C15" s="22" t="str">
        <x:v>의료용품20종</x:v>
      </x:c>
      <x:c r="D15" s="28" t="n">
        <x:v>25110</x:v>
      </x:c>
      <x:c r="E15" s="22" t="n">
        <x:v>0</x:v>
      </x:c>
      <x:c r="F15" s="22" t="str">
        <x:v>-</x:v>
      </x:c>
      <x:c r="G15" s="28" t="n">
        <x:v>0</x:v>
      </x:c>
      <x:c r="H15" s="22" t="str">
        <x:v>비교용</x:v>
      </x:c>
      <x:c r="I15" s="22" t="str">
        <x:v>미선정</x:v>
      </x:c>
      <x:c r="J15" s="22" t="str"/>
      <x:c r="K15" s="22" t="str"/>
    </x:row>
    <x:row r="18" ht="24" customHeight="1">
      <x:c r="A18" s="26" t="str">
        <x:v>12-3. 소화기 및 기존 소방시설</x:v>
      </x:c>
    </x:row>
    <x:row r="19">
      <x:c r="A19" s="18" t="str">
        <x:v>항목</x:v>
      </x:c>
      <x:c r="B19" s="18" t="str">
        <x:v>기준 회사/상품</x:v>
      </x:c>
      <x:c r="C19" s="18" t="str">
        <x:v>공개가격</x:v>
      </x:c>
      <x:c r="D19" s="18" t="str">
        <x:v>수량</x:v>
      </x:c>
      <x:c r="E19" s="18" t="str">
        <x:v>계산</x:v>
      </x:c>
      <x:c r="F19" s="18" t="str">
        <x:v>반영액</x:v>
      </x:c>
      <x:c r="G19" s="18" t="str">
        <x:v>상태</x:v>
      </x:c>
      <x:c r="H19" s="18" t="str">
        <x:v>LUNEA 처리</x:v>
      </x:c>
      <x:c r="I19" s="18" t="str">
        <x:v>주의</x:v>
      </x:c>
      <x:c r="J19" s="18" t="str">
        <x:v>확인처</x:v>
      </x:c>
      <x:c r="K19" s="18" t="str">
        <x:v>출처</x:v>
      </x:c>
    </x:row>
    <x:row r="20">
      <x:c r="A20" s="22" t="str">
        <x:v>기존 소화기</x:v>
      </x:c>
      <x:c r="B20" s="22" t="str">
        <x:v>연무장길33</x:v>
      </x:c>
      <x:c r="C20" s="22" t="str">
        <x:v>대관시설 확인</x:v>
      </x:c>
      <x:c r="D20" s="22" t="n">
        <x:v>0</x:v>
      </x:c>
      <x:c r="E20" s="22" t="str">
        <x:v>-</x:v>
      </x:c>
      <x:c r="F20" s="28" t="n">
        <x:v>0</x:v>
      </x:c>
      <x:c r="G20" s="22" t="str">
        <x:v>확인</x:v>
      </x:c>
      <x:c r="H20" s="22" t="str">
        <x:v>우선 사용</x:v>
      </x:c>
      <x:c r="I20" s="22" t="str">
        <x:v>위치·수량·점검상태</x:v>
      </x:c>
      <x:c r="J20" s="22" t="str">
        <x:v>대관처</x:v>
      </x:c>
      <x:c r="K20" s="22" t="str"/>
    </x:row>
    <x:row r="21">
      <x:c r="A21" s="22" t="str">
        <x:v>추가 소화기 필요 시</x:v>
      </x:c>
      <x:c r="B21" s="22" t="str">
        <x:v>태양소방산업 ABC3.3kg</x:v>
      </x:c>
      <x:c r="C21" s="22" t="str">
        <x:v>17,900원/대</x:v>
      </x:c>
      <x:c r="D21" s="22" t="n">
        <x:v>0</x:v>
      </x:c>
      <x:c r="E21" s="22" t="str">
        <x:v>필요수량×17,900</x:v>
      </x:c>
      <x:c r="F21" s="28" t="n">
        <x:v>0</x:v>
      </x:c>
      <x:c r="G21" s="22" t="str">
        <x:v>필요 시</x:v>
      </x:c>
      <x:c r="H21" s="22" t="str">
        <x:v>필요 수량만 구매</x:v>
      </x:c>
      <x:c r="I21" s="22" t="str">
        <x:v>면적만으로 임의수량 금지</x:v>
      </x:c>
      <x:c r="J21" s="22" t="str">
        <x:v>대관처/시공사</x:v>
      </x:c>
      <x:c r="K21" s="22" t="str">
        <x:v>다나와</x:v>
      </x:c>
    </x:row>
    <x:row r="22">
      <x:c r="A22" s="22" t="str">
        <x:v>저가 비교</x:v>
      </x:c>
      <x:c r="B22" s="22" t="str">
        <x:v>에프아이씨 ABC3.3kg</x:v>
      </x:c>
      <x:c r="C22" s="22" t="str">
        <x:v>13,900원~</x:v>
      </x:c>
      <x:c r="D22" s="22" t="n">
        <x:v>0</x:v>
      </x:c>
      <x:c r="E22" s="22" t="str">
        <x:v>-</x:v>
      </x:c>
      <x:c r="F22" s="28" t="n">
        <x:v>0</x:v>
      </x:c>
      <x:c r="G22" s="22" t="str">
        <x:v>비교용</x:v>
      </x:c>
      <x:c r="H22" s="22" t="str">
        <x:v>필요 시 비교</x:v>
      </x:c>
      <x:c r="I22" s="22" t="str">
        <x:v>인증/배송 확인</x:v>
      </x:c>
      <x:c r="J22" s="22" t="str"/>
      <x:c r="K22" s="22" t="str"/>
    </x:row>
    <x:row r="25" ht="24" customHeight="1">
      <x:c r="A25" s="26" t="str">
        <x:v>12-4. 미끄럼·청소 안전표지</x:v>
      </x:c>
    </x:row>
    <x:row r="26">
      <x:c r="A26" s="18" t="str">
        <x:v>항목</x:v>
      </x:c>
      <x:c r="B26" s="18" t="str">
        <x:v>기준 회사/상품</x:v>
      </x:c>
      <x:c r="C26" s="18" t="str">
        <x:v>공개가격</x:v>
      </x:c>
      <x:c r="D26" s="18" t="str">
        <x:v>수량</x:v>
      </x:c>
      <x:c r="E26" s="18" t="str">
        <x:v>계산</x:v>
      </x:c>
      <x:c r="F26" s="18" t="str">
        <x:v>반영액</x:v>
      </x:c>
      <x:c r="G26" s="18" t="str">
        <x:v>상태</x:v>
      </x:c>
      <x:c r="H26" s="18" t="str">
        <x:v>배송</x:v>
      </x:c>
      <x:c r="I26" s="18" t="str">
        <x:v>배치</x:v>
      </x:c>
      <x:c r="J26" s="18" t="str">
        <x:v>주의</x:v>
      </x:c>
      <x:c r="K26" s="18" t="str">
        <x:v>출처</x:v>
      </x:c>
    </x:row>
    <x:row r="27">
      <x:c r="A27" s="22" t="str">
        <x:v>A형 미끄럼주의 표지판</x:v>
      </x:c>
      <x:c r="B27" s="22" t="str">
        <x:v>온라인 판매 A형 접이식</x:v>
      </x:c>
      <x:c r="C27" s="22" t="str">
        <x:v>9,700원/개</x:v>
      </x:c>
      <x:c r="D27" s="22" t="n">
        <x:v>2</x:v>
      </x:c>
      <x:c r="E27" s="22" t="str">
        <x:v>9,700×2+배송3,000</x:v>
      </x:c>
      <x:c r="F27" s="28" t="n">
        <x:v>22400</x:v>
      </x:c>
      <x:c r="G27" s="22" t="str">
        <x:v>공개가격 계산</x:v>
      </x:c>
      <x:c r="H27" s="22" t="str">
        <x:v>3,000원</x:v>
      </x:c>
      <x:c r="I27" s="22" t="str">
        <x:v>B1·1F 각1개</x:v>
      </x:c>
      <x:c r="J27" s="22" t="str">
        <x:v>실제 대관층 확정 후</x:v>
      </x:c>
      <x:c r="K27" s="22" t="str"/>
    </x:row>
    <x:row r="30" ht="24" customHeight="1">
      <x:c r="A30" s="26" t="str">
        <x:v>12-5. 방염·전기·피난 안전 검수</x:v>
      </x:c>
    </x:row>
    <x:row r="31">
      <x:c r="A31" s="18" t="str">
        <x:v>항목</x:v>
      </x:c>
      <x:c r="B31" s="18" t="str">
        <x:v>처리 방식</x:v>
      </x:c>
      <x:c r="C31" s="18" t="str">
        <x:v>기준 업체</x:v>
      </x:c>
      <x:c r="D31" s="18" t="str">
        <x:v>가격 기준</x:v>
      </x:c>
      <x:c r="E31" s="18" t="str">
        <x:v>반영액</x:v>
      </x:c>
      <x:c r="F31" s="18" t="str">
        <x:v>상태</x:v>
      </x:c>
      <x:c r="G31" s="18" t="str">
        <x:v>4번과 중복</x:v>
      </x:c>
      <x:c r="H31" s="18" t="str">
        <x:v>필수 확인</x:v>
      </x:c>
      <x:c r="I31" s="18" t="str">
        <x:v>추가비 발생 조건</x:v>
      </x:c>
      <x:c r="J31" s="18" t="str">
        <x:v>비고</x:v>
      </x:c>
      <x:c r="K31" s="18" t="str">
        <x:v>출처</x:v>
      </x:c>
    </x:row>
    <x:row r="32">
      <x:c r="A32" s="22" t="str">
        <x:v>VMD 자재 방염</x:v>
      </x:c>
      <x:c r="B32" s="22" t="str">
        <x:v>4번 시공견적 포함 요청</x:v>
      </x:c>
      <x:c r="C32" s="22" t="str">
        <x:v>선정 시공사</x:v>
      </x:c>
      <x:c r="D32" s="22" t="str">
        <x:v>정식견적</x:v>
      </x:c>
      <x:c r="E32" s="28" t="n">
        <x:v>0</x:v>
      </x:c>
      <x:c r="F32" s="22" t="str">
        <x:v>포함여부 확인</x:v>
      </x:c>
      <x:c r="G32" s="22" t="str">
        <x:v>중복 금지</x:v>
      </x:c>
      <x:c r="H32" s="22" t="str">
        <x:v>방염증명/대상자재</x:v>
      </x:c>
      <x:c r="I32" s="22" t="str">
        <x:v>추가 방염 필요 시</x:v>
      </x:c>
      <x:c r="J32" s="22" t="str"/>
      <x:c r="K32" s="22" t="str"/>
    </x:row>
    <x:row r="33">
      <x:c r="A33" s="22" t="str">
        <x:v>전기 안전 점검</x:v>
      </x:c>
      <x:c r="B33" s="22" t="str">
        <x:v>시공·대관처 포함 확인</x:v>
      </x:c>
      <x:c r="C33" s="22" t="str">
        <x:v>시공사/대관처</x:v>
      </x:c>
      <x:c r="D33" s="22" t="str">
        <x:v>정식견적</x:v>
      </x:c>
      <x:c r="E33" s="28" t="n">
        <x:v>0</x:v>
      </x:c>
      <x:c r="F33" s="22" t="str">
        <x:v>포함여부 확인</x:v>
      </x:c>
      <x:c r="G33" s="22" t="str">
        <x:v>중복 금지</x:v>
      </x:c>
      <x:c r="H33" s="22" t="str">
        <x:v>전력용량·임시배선</x:v>
      </x:c>
      <x:c r="I33" s="22" t="str">
        <x:v>추가 공사 시</x:v>
      </x:c>
      <x:c r="J33" s="22" t="str"/>
      <x:c r="K33" s="22" t="str"/>
    </x:row>
    <x:row r="34">
      <x:c r="A34" s="22" t="str">
        <x:v>비상구·피난동선</x:v>
      </x:c>
      <x:c r="B34" s="22" t="str">
        <x:v>대관처+시공사 확인</x:v>
      </x:c>
      <x:c r="C34" s="22" t="str">
        <x:v>대관처/시공사</x:v>
      </x:c>
      <x:c r="D34" s="22" t="str">
        <x:v>대관조건</x:v>
      </x:c>
      <x:c r="E34" s="28" t="n">
        <x:v>0</x:v>
      </x:c>
      <x:c r="F34" s="22" t="str">
        <x:v>확인</x:v>
      </x:c>
      <x:c r="G34" s="22" t="str">
        <x:v>비용중복 아님</x:v>
      </x:c>
      <x:c r="H34" s="22" t="str">
        <x:v>동선 막힘 여부</x:v>
      </x:c>
      <x:c r="I34" s="22" t="str">
        <x:v>구조 수정 시</x:v>
      </x:c>
      <x:c r="J34" s="22" t="str"/>
      <x:c r="K34" s="22" t="str"/>
    </x:row>
    <x:row r="36" ht="24" customHeight="1">
      <x:c r="A36" s="26" t="str">
        <x:v>12-6. 12번 최종 정리</x:v>
      </x:c>
    </x:row>
    <x:row r="37">
      <x:c r="A37" s="18" t="str">
        <x:v>품목</x:v>
      </x:c>
      <x:c r="B37" s="18" t="str">
        <x:v>기준 업체</x:v>
      </x:c>
      <x:c r="C37" s="18" t="str">
        <x:v>반영액</x:v>
      </x:c>
      <x:c r="D37" s="18" t="str">
        <x:v>미반영/추가</x:v>
      </x:c>
      <x:c r="E37" s="18" t="str">
        <x:v>상태</x:v>
      </x:c>
      <x:c r="F37" s="18" t="str">
        <x:v>계산 근거</x:v>
      </x:c>
      <x:c r="G37" s="18" t="str">
        <x:v>비고</x:v>
      </x:c>
      <x:c r="H37" s="18" t="str">
        <x:v>추가 액션</x:v>
      </x:c>
      <x:c r="I37" s="18" t="str">
        <x:v>담당</x:v>
      </x:c>
      <x:c r="J37" s="18" t="str">
        <x:v>완료</x:v>
      </x:c>
      <x:c r="K37" s="18" t="str">
        <x:v>메모</x:v>
      </x:c>
    </x:row>
    <x:row r="38">
      <x:c r="A38" s="22" t="str">
        <x:v>행사주최자 배상책임보험</x:v>
      </x:c>
      <x:c r="B38" s="22" t="str">
        <x:v>KB/현대/DB</x:v>
      </x:c>
      <x:c r="C38" s="28" t="n">
        <x:v>0</x:v>
      </x:c>
      <x:c r="D38" s="22" t="str">
        <x:v>보험료</x:v>
      </x:c>
      <x:c r="E38" s="22" t="str">
        <x:v>별도 견적</x:v>
      </x:c>
      <x:c r="F38" s="22" t="str">
        <x:v>동일조건 비교</x:v>
      </x:c>
      <x:c r="G38" s="22" t="str"/>
      <x:c r="H38" s="22" t="str"/>
      <x:c r="I38" s="22" t="str"/>
      <x:c r="J38" s="22" t="str"/>
      <x:c r="K38" s="22" t="str"/>
    </x:row>
    <x:row r="39">
      <x:c r="A39" s="22" t="str">
        <x:v>구급함2개</x:v>
      </x:c>
      <x:c r="B39" s="22" t="str">
        <x:v>한양</x:v>
      </x:c>
      <x:c r="C39" s="28" t="n">
        <x:v>42780</x:v>
      </x:c>
      <x:c r="D39" s="22" t="str"/>
      <x:c r="E39" s="22" t="str">
        <x:v>공개가격</x:v>
      </x:c>
      <x:c r="F39" s="22" t="str">
        <x:v>21,390×2</x:v>
      </x:c>
      <x:c r="G39" s="22" t="str"/>
      <x:c r="H39" s="22" t="str"/>
      <x:c r="I39" s="22" t="str"/>
      <x:c r="J39" s="22" t="str"/>
      <x:c r="K39" s="22" t="str"/>
    </x:row>
    <x:row r="40">
      <x:c r="A40" s="22" t="str">
        <x:v>기존 소방시설</x:v>
      </x:c>
      <x:c r="B40" s="22" t="str">
        <x:v>연무장길33</x:v>
      </x:c>
      <x:c r="C40" s="28" t="n">
        <x:v>0</x:v>
      </x:c>
      <x:c r="D40" s="22" t="str">
        <x:v>추가 소화기 필요 시</x:v>
      </x:c>
      <x:c r="E40" s="22" t="str">
        <x:v>확인</x:v>
      </x:c>
      <x:c r="F40" s="22" t="str">
        <x:v>우선 사용</x:v>
      </x:c>
      <x:c r="G40" s="22" t="str"/>
      <x:c r="H40" s="22" t="str"/>
      <x:c r="I40" s="22" t="str"/>
      <x:c r="J40" s="22" t="str"/>
      <x:c r="K40" s="22" t="str"/>
    </x:row>
    <x:row r="41">
      <x:c r="A41" s="22" t="str">
        <x:v>추가 소화기</x:v>
      </x:c>
      <x:c r="B41" s="22" t="str">
        <x:v>태양소방산업</x:v>
      </x:c>
      <x:c r="C41" s="28" t="n">
        <x:v>0</x:v>
      </x:c>
      <x:c r="D41" s="22" t="str">
        <x:v>필요수량×17,900</x:v>
      </x:c>
      <x:c r="E41" s="22" t="str">
        <x:v>필요 시</x:v>
      </x:c>
      <x:c r="F41" s="22" t="str"/>
      <x:c r="G41" s="22" t="str"/>
      <x:c r="H41" s="22" t="str"/>
      <x:c r="I41" s="22" t="str"/>
      <x:c r="J41" s="22" t="str"/>
      <x:c r="K41" s="22" t="str"/>
    </x:row>
    <x:row r="42">
      <x:c r="A42" s="22" t="str">
        <x:v>미끄럼주의 표지2개</x:v>
      </x:c>
      <x:c r="B42" s="22" t="str">
        <x:v>온라인 공개가격</x:v>
      </x:c>
      <x:c r="C42" s="28" t="n">
        <x:v>22400</x:v>
      </x:c>
      <x:c r="D42" s="22" t="str"/>
      <x:c r="E42" s="22" t="str">
        <x:v>공개가격</x:v>
      </x:c>
      <x:c r="F42" s="22" t="str">
        <x:v>9,700×2+배송3,000</x:v>
      </x:c>
      <x:c r="G42" s="22" t="str"/>
      <x:c r="H42" s="22" t="str"/>
      <x:c r="I42" s="22" t="str"/>
      <x:c r="J42" s="22" t="str"/>
      <x:c r="K42" s="22" t="str"/>
    </x:row>
    <x:row r="43">
      <x:c r="A43" s="22" t="str">
        <x:v>방염·전기 안전검수</x:v>
      </x:c>
      <x:c r="B43" s="22" t="str">
        <x:v>4번 시공업체</x:v>
      </x:c>
      <x:c r="C43" s="28" t="n">
        <x:v>0</x:v>
      </x:c>
      <x:c r="D43" s="22" t="str">
        <x:v>추가 필요 시</x:v>
      </x:c>
      <x:c r="E43" s="22" t="str">
        <x:v>포함여부 확인</x:v>
      </x:c>
      <x:c r="F43" s="22" t="str">
        <x:v>4번과 통합</x:v>
      </x:c>
      <x:c r="G43" s="22" t="str"/>
      <x:c r="H43" s="22" t="str"/>
      <x:c r="I43" s="22" t="str"/>
      <x:c r="J43" s="22" t="str"/>
      <x:c r="K43" s="22" t="str"/>
    </x:row>
    <x:row r="45">
      <x:c r="A45" s="30" t="str">
        <x:v>12번 현재 공개가격 기준 소계</x:v>
      </x:c>
      <x:c r="B45" s="30"/>
      <x:c r="C45" s="32" t="n">
        <x:f>SUM(C38:C43)</x:f>
        <x:v>65180</x:v>
      </x:c>
      <x:c r="D45" s="30"/>
      <x:c r="E45" s="30"/>
      <x:c r="F45" s="30"/>
      <x:c r="G45" s="30"/>
      <x:c r="H45" s="30"/>
      <x:c r="I45" s="30"/>
      <x:c r="J45" s="30"/>
      <x:c r="K45" s="30"/>
    </x:row>
  </x:sheetData>
  <x:mergeCells>
    <x:mergeCell ref="A1:K1"/>
    <x:mergeCell ref="A3:K3"/>
    <x:mergeCell ref="A5:K5"/>
    <x:mergeCell ref="A11:K11"/>
    <x:mergeCell ref="A18:K18"/>
    <x:mergeCell ref="A25:K25"/>
    <x:mergeCell ref="A30:K30"/>
    <x:mergeCell ref="A36:K36"/>
    <x:mergeCell ref="A45:B4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8" hidden="0" customWidth="1"/>
    <x:col min="4" max="4" width="34" hidden="0" customWidth="1"/>
    <x:col min="5" max="5" width="18" hidden="0" customWidth="1"/>
    <x:col min="6" max="6" width="14" hidden="0" customWidth="1"/>
    <x:col min="7" max="7" width="28" hidden="0" customWidth="1"/>
    <x:col min="8" max="8" width="24" hidden="0" customWidth="1"/>
    <x:col min="9" max="9" width="16" hidden="0" customWidth="1"/>
    <x:col min="10" max="10" width="12" hidden="0" customWidth="1"/>
  </x:cols>
  <x:sheetData>
    <x:row r="1" ht="30" customHeight="1">
      <x:c r="A1" s="4" t="str">
        <x:v>13. 예비비·돌발비용</x:v>
      </x:c>
    </x:row>
    <x:row r="3" ht="34" customHeight="1">
      <x:c r="A3" s="10" t="str">
        <x:v>예비비는 처음부터 예정된 비용이 아니라 현장 돌발상황 대응용. 모든 정식견적이 채워지면 직접비 기준으로 재계산.</x:v>
      </x:c>
    </x:row>
    <x:row r="5" ht="24" customHeight="1">
      <x:c r="A5" s="26" t="str">
        <x:v>13-1. 예비비 비율 기준</x:v>
      </x:c>
    </x:row>
    <x:row r="6">
      <x:c r="A6" s="18" t="str">
        <x:v>기준 회사/자료</x:v>
      </x:c>
      <x:c r="B6" s="18" t="str">
        <x:v>공개 기준</x:v>
      </x:c>
      <x:c r="C6" s="18" t="str">
        <x:v>LUNEA 적용</x:v>
      </x:c>
      <x:c r="D6" s="18" t="str">
        <x:v>비율</x:v>
      </x:c>
      <x:c r="E6" s="18" t="str">
        <x:v>상태</x:v>
      </x:c>
      <x:c r="F6" s="18" t="str">
        <x:v>이유</x:v>
      </x:c>
      <x:c r="G6" s="18" t="str">
        <x:v>적용 시점</x:v>
      </x:c>
      <x:c r="H6" s="18" t="str">
        <x:v>재계산</x:v>
      </x:c>
      <x:c r="I6" s="18" t="str">
        <x:v>주의</x:v>
      </x:c>
      <x:c r="J6" s="18" t="str">
        <x:v>출처 URL</x:v>
      </x:c>
    </x:row>
    <x:row r="7">
      <x:c r="A7" s="22" t="str">
        <x:v>스위트스팟 2026 팝업스토어 비용 가이드</x:v>
      </x:c>
      <x:c r="B7" s="22" t="str">
        <x:v>돌발비용 대비 최소10% 예비비 권장</x:v>
      </x:c>
      <x:c r="C7" s="22" t="str">
        <x:v>최저 권장선10% 적용</x:v>
      </x:c>
      <x:c r="D7" s="44" t="n">
        <x:v>0.1</x:v>
      </x:c>
      <x:c r="E7" s="22" t="str">
        <x:v>기준</x:v>
      </x:c>
      <x:c r="F7" s="22" t="str">
        <x:v>시공수정·지연·인력추가·폐기물</x:v>
      </x:c>
      <x:c r="G7" s="22" t="str">
        <x:v>현재 확인 직접비</x:v>
      </x:c>
      <x:c r="H7" s="22" t="str">
        <x:v>최종견적 후</x:v>
      </x:c>
      <x:c r="I7" s="22" t="str">
        <x:v>예정비용 숨기지 않음</x:v>
      </x:c>
      <x:c r="J7" s="22" t="str">
        <x:v>https://www.sweetspot.co.kr/popupstore_budget</x:v>
      </x:c>
    </x:row>
    <x:row r="10" ht="24" customHeight="1">
      <x:c r="A10" s="26" t="str">
        <x:v>13-2. 현재 직접비 기준</x:v>
      </x:c>
    </x:row>
    <x:row r="11">
      <x:c r="A11" s="18" t="str">
        <x:v>번호</x:v>
      </x:c>
      <x:c r="B11" s="18" t="str">
        <x:v>항목</x:v>
      </x:c>
      <x:c r="C11" s="18" t="str">
        <x:v>현재 반영액</x:v>
      </x:c>
      <x:c r="D11" s="18" t="str">
        <x:v>상태</x:v>
      </x:c>
      <x:c r="E11" s="18" t="str">
        <x:v>예비비 포함</x:v>
      </x:c>
      <x:c r="F11" s="18" t="str">
        <x:v>비고</x:v>
      </x:c>
      <x:c r="G11" s="18" t="str">
        <x:v>기준 회사</x:v>
      </x:c>
      <x:c r="H11" s="18" t="str">
        <x:v>미반영</x:v>
      </x:c>
      <x:c r="I11" s="18" t="str">
        <x:v>최종 견적</x:v>
      </x:c>
      <x:c r="J11" s="18" t="str">
        <x:v>메모</x:v>
      </x:c>
    </x:row>
    <x:row r="12">
      <x:c r="A12" s="22" t="n">
        <x:v>2</x:v>
      </x:c>
      <x:c r="B12" s="22" t="str">
        <x:v>공간 대관비</x:v>
      </x:c>
      <x:c r="C12" s="28" t="n">
        <x:v>105000000</x:v>
      </x:c>
      <x:c r="D12" s="22" t="str">
        <x:v>공개 최소가 계산</x:v>
      </x:c>
      <x:c r="E12" s="22" t="str">
        <x:v>포함</x:v>
      </x:c>
      <x:c r="F12" s="22" t="str"/>
      <x:c r="G12" s="22" t="str">
        <x:v>연무장길33</x:v>
      </x:c>
      <x:c r="H12" s="22" t="str">
        <x:v>실제 B1+1F 계약가</x:v>
      </x:c>
      <x:c r="I12" s="22" t="str"/>
      <x:c r="J12" s="22" t="str"/>
    </x:row>
    <x:row r="13">
      <x:c r="A13" s="22" t="n">
        <x:v>3</x:v>
      </x:c>
      <x:c r="B13" s="22" t="str">
        <x:v>기획·공간 디자인비</x:v>
      </x:c>
      <x:c r="C13" s="28" t="n">
        <x:v>2612500</x:v>
      </x:c>
      <x:c r="D13" s="22" t="str">
        <x:v>일부 공개가격</x:v>
      </x:c>
      <x:c r="E13" s="22" t="str">
        <x:v>포함</x:v>
      </x:c>
      <x:c r="F13" s="22" t="str"/>
      <x:c r="G13" s="22" t="str">
        <x:v>KOHOBLUU</x:v>
      </x:c>
      <x:c r="H13" s="22" t="str">
        <x:v>PM/실시설계/감리</x:v>
      </x:c>
      <x:c r="I13" s="22" t="str"/>
      <x:c r="J13" s="22" t="str"/>
    </x:row>
    <x:row r="14">
      <x:c r="A14" s="22" t="n">
        <x:v>4</x:v>
      </x:c>
      <x:c r="B14" s="22" t="str">
        <x:v>공간 시공·VMD</x:v>
      </x:c>
      <x:c r="C14" s="28" t="n">
        <x:v>116000000</x:v>
      </x:c>
      <x:c r="D14" s="22" t="str">
        <x:v>가예산 재검증</x:v>
      </x:c>
      <x:c r="E14" s="22" t="str">
        <x:v>포함</x:v>
      </x:c>
      <x:c r="F14" s="22" t="str">
        <x:v>정식견적 교체</x:v>
      </x:c>
      <x:c r="G14" s="22" t="str">
        <x:v>시공사</x:v>
      </x:c>
      <x:c r="H14" s="22" t="str">
        <x:v>전체 정식견적</x:v>
      </x:c>
      <x:c r="I14" s="22" t="str"/>
      <x:c r="J14" s="22" t="str"/>
    </x:row>
    <x:row r="15">
      <x:c r="A15" s="22" t="n">
        <x:v>5</x:v>
      </x:c>
      <x:c r="B15" s="22" t="str">
        <x:v>철거·원상복구</x:v>
      </x:c>
      <x:c r="C15" s="28" t="n">
        <x:v>11600000</x:v>
      </x:c>
      <x:c r="D15" s="22" t="str">
        <x:v>가예산 재검증</x:v>
      </x:c>
      <x:c r="E15" s="22" t="str">
        <x:v>포함</x:v>
      </x:c>
      <x:c r="F15" s="22" t="str">
        <x:v>정식견적 교체</x:v>
      </x:c>
      <x:c r="G15" s="22" t="str">
        <x:v>4번 동일 시공사</x:v>
      </x:c>
      <x:c r="H15" s="22" t="str">
        <x:v>통합 철거견적</x:v>
      </x:c>
      <x:c r="I15" s="22" t="str"/>
      <x:c r="J15" s="22" t="str"/>
    </x:row>
    <x:row r="16">
      <x:c r="A16" s="22" t="n">
        <x:v>6</x:v>
      </x:c>
      <x:c r="B16" s="22" t="str">
        <x:v>집기·장비·디지털</x:v>
      </x:c>
      <x:c r="C16" s="28" t="n">
        <x:v>9684900</x:v>
      </x:c>
      <x:c r="D16" s="22" t="str">
        <x:v>일부 공개가격</x:v>
      </x:c>
      <x:c r="E16" s="22" t="str">
        <x:v>포함</x:v>
      </x:c>
      <x:c r="F16" s="22" t="str"/>
      <x:c r="G16" s="22" t="str">
        <x:v>여러 업체</x:v>
      </x:c>
      <x:c r="H16" s="22" t="str">
        <x:v>웨이팅/포토부스/라이선스</x:v>
      </x:c>
      <x:c r="I16" s="22" t="str"/>
      <x:c r="J16" s="22" t="str"/>
    </x:row>
    <x:row r="17">
      <x:c r="A17" s="22" t="n">
        <x:v>7</x:v>
      </x:c>
      <x:c r="B17" s="22" t="str">
        <x:v>인쇄물·제작물</x:v>
      </x:c>
      <x:c r="C17" s="28" t="n">
        <x:v>1027700</x:v>
      </x:c>
      <x:c r="D17" s="22" t="str">
        <x:v>일부 공개가격</x:v>
      </x:c>
      <x:c r="E17" s="22" t="str">
        <x:v>포함</x:v>
      </x:c>
      <x:c r="F17" s="22" t="str"/>
      <x:c r="G17" s="22" t="str">
        <x:v>나눔/레드</x:v>
      </x:c>
      <x:c r="H17" s="22" t="str">
        <x:v>100부/내지/VAT/배송</x:v>
      </x:c>
      <x:c r="I17" s="22" t="str"/>
      <x:c r="J17" s="22" t="str"/>
    </x:row>
    <x:row r="18">
      <x:c r="A18" s="22" t="n">
        <x:v>8</x:v>
      </x:c>
      <x:c r="B18" s="22" t="str">
        <x:v>샘플·테스터·위생</x:v>
      </x:c>
      <x:c r="C18" s="28" t="n">
        <x:v>330900</x:v>
      </x:c>
      <x:c r="D18" s="22" t="str">
        <x:v>일부 공개가격</x:v>
      </x:c>
      <x:c r="E18" s="22" t="str">
        <x:v>포함</x:v>
      </x:c>
      <x:c r="F18" s="22" t="str"/>
      <x:c r="G18" s="22" t="str">
        <x:v>OEM/소모품</x:v>
      </x:c>
      <x:c r="H18" s="22" t="str">
        <x:v>샘플/테스터원가</x:v>
      </x:c>
      <x:c r="I18" s="22" t="str"/>
      <x:c r="J18" s="22" t="str"/>
    </x:row>
    <x:row r="19">
      <x:c r="A19" s="22" t="n">
        <x:v>9</x:v>
      </x:c>
      <x:c r="B19" s="22" t="str">
        <x:v>운영 인력비</x:v>
      </x:c>
      <x:c r="C19" s="28" t="n">
        <x:v>32292000</x:v>
      </x:c>
      <x:c r="D19" s="22" t="str">
        <x:v>직접인건비</x:v>
      </x:c>
      <x:c r="E19" s="22" t="str">
        <x:v>포함</x:v>
      </x:c>
      <x:c r="F19" s="22" t="str"/>
      <x:c r="G19" s="22" t="str">
        <x:v>성수 팝업 시급</x:v>
      </x:c>
      <x:c r="H19" s="22" t="str">
        <x:v>주휴/보험/대행</x:v>
      </x:c>
      <x:c r="I19" s="22" t="str"/>
      <x:c r="J19" s="22" t="str"/>
    </x:row>
    <x:row r="20">
      <x:c r="A20" s="22" t="n">
        <x:v>10</x:v>
      </x:c>
      <x:c r="B20" s="22" t="str">
        <x:v>물류·청소·운영</x:v>
      </x:c>
      <x:c r="C20" s="28" t="n">
        <x:v>1281000</x:v>
      </x:c>
      <x:c r="D20" s="22" t="str">
        <x:v>일부 공개가격</x:v>
      </x:c>
      <x:c r="E20" s="22" t="str">
        <x:v>포함</x:v>
      </x:c>
      <x:c r="F20" s="22" t="str"/>
      <x:c r="G20" s="22" t="str">
        <x:v>센디/미소/하나</x:v>
      </x:c>
      <x:c r="H20" s="22" t="str">
        <x:v>인터넷/폐기물</x:v>
      </x:c>
      <x:c r="I20" s="22" t="str"/>
      <x:c r="J20" s="22" t="str"/>
    </x:row>
    <x:row r="21">
      <x:c r="A21" s="22" t="n">
        <x:v>11</x:v>
      </x:c>
      <x:c r="B21" s="22" t="str">
        <x:v>홍보·콘텐츠</x:v>
      </x:c>
      <x:c r="C21" s="28" t="n">
        <x:v>1585525</x:v>
      </x:c>
      <x:c r="D21" s="22" t="str">
        <x:v>일부 공개가격</x:v>
      </x:c>
      <x:c r="E21" s="22" t="str">
        <x:v>포함</x:v>
      </x:c>
      <x:c r="F21" s="22" t="str"/>
      <x:c r="G21" s="22" t="str">
        <x:v>크몽 업체</x:v>
      </x:c>
      <x:c r="H21" s="22" t="str">
        <x:v>SNS수수료/매체비</x:v>
      </x:c>
      <x:c r="I21" s="22" t="str"/>
      <x:c r="J21" s="22" t="str"/>
    </x:row>
    <x:row r="22">
      <x:c r="A22" s="22" t="n">
        <x:v>12</x:v>
      </x:c>
      <x:c r="B22" s="22" t="str">
        <x:v>보험·안전</x:v>
      </x:c>
      <x:c r="C22" s="28" t="n">
        <x:v>65180</x:v>
      </x:c>
      <x:c r="D22" s="22" t="str">
        <x:v>일부 공개가격</x:v>
      </x:c>
      <x:c r="E22" s="22" t="str">
        <x:v>포함</x:v>
      </x:c>
      <x:c r="F22" s="22" t="str"/>
      <x:c r="G22" s="22" t="str">
        <x:v>보험사/안전용품</x:v>
      </x:c>
      <x:c r="H22" s="22" t="str">
        <x:v>행사보험</x:v>
      </x:c>
      <x:c r="I22" s="22" t="str"/>
      <x:c r="J22" s="22" t="str"/>
    </x:row>
    <x:row r="24">
      <x:c r="A24" s="30" t="str">
        <x:v>현재 확인 가능 직접비</x:v>
      </x:c>
      <x:c r="B24" s="30"/>
      <x:c r="C24" s="32" t="n">
        <x:f>SUM(C12:C22)</x:f>
        <x:v>281479705</x:v>
      </x:c>
      <x:c r="D24" s="30"/>
      <x:c r="E24" s="30"/>
      <x:c r="F24" s="30"/>
      <x:c r="G24" s="30"/>
      <x:c r="H24" s="30"/>
      <x:c r="I24" s="30"/>
      <x:c r="J24" s="30"/>
    </x:row>
    <x:row r="26" ht="24" customHeight="1">
      <x:c r="A26" s="26" t="str">
        <x:v>13-3. 예비비 계산</x:v>
      </x:c>
    </x:row>
    <x:row r="27">
      <x:c r="A27" s="18" t="str">
        <x:v>항목</x:v>
      </x:c>
      <x:c r="B27" s="18" t="str">
        <x:v>기준금액</x:v>
      </x:c>
      <x:c r="C27" s="18" t="str">
        <x:v>적용률</x:v>
      </x:c>
      <x:c r="D27" s="18" t="str">
        <x:v>계산식</x:v>
      </x:c>
      <x:c r="E27" s="18" t="str">
        <x:v>예비비</x:v>
      </x:c>
      <x:c r="F27" s="18" t="str">
        <x:v>상태</x:v>
      </x:c>
      <x:c r="G27" s="18" t="str">
        <x:v>재계산 조건</x:v>
      </x:c>
      <x:c r="H27" s="18" t="str">
        <x:v>비고</x:v>
      </x:c>
      <x:c r="I27" s="18" t="str">
        <x:v>출처</x:v>
      </x:c>
      <x:c r="J27" s="18" t="str">
        <x:v>담당</x:v>
      </x:c>
    </x:row>
    <x:row r="28">
      <x:c r="A28" s="22" t="str">
        <x:v>예비비</x:v>
      </x:c>
      <x:c r="B28" s="22" t="str">
        <x:v>13-2 직접비 합계</x:v>
      </x:c>
      <x:c r="C28" s="44" t="n">
        <x:v>0.1</x:v>
      </x:c>
      <x:c r="D28" s="22" t="str">
        <x:v>직접비×10%</x:v>
      </x:c>
      <x:c r="E28" s="28" t="n">
        <x:f>C24*C28</x:f>
        <x:v>28147970.5</x:v>
      </x:c>
      <x:c r="F28" s="22" t="str">
        <x:v>1차 계산</x:v>
      </x:c>
      <x:c r="G28" s="22" t="str">
        <x:v>정식견적 반영 후 직접비 변경 시</x:v>
      </x:c>
      <x:c r="H28" s="22" t="str">
        <x:v>반올림 전 계산값</x:v>
      </x:c>
      <x:c r="I28" s="22" t="str">
        <x:v>스위트스팟 가이드</x:v>
      </x:c>
      <x:c r="J28" s="22" t="str"/>
    </x:row>
    <x:row r="30" ht="34" customHeight="1">
      <x:c r="A30" s="48" t="str">
        <x:v>현재 예비비 계산값: 약 28,147,971원(실무 반올림 약 28,150,000원). 별도 견적 반영 후 반드시 재계산.</x:v>
      </x:c>
    </x:row>
    <x:row r="32" ht="24" customHeight="1">
      <x:c r="A32" s="26" t="str">
        <x:v>13-4. 예비비 사용 범위</x:v>
      </x:c>
    </x:row>
    <x:row r="33">
      <x:c r="A33" s="18" t="str">
        <x:v>상황</x:v>
      </x:c>
      <x:c r="B33" s="18" t="str">
        <x:v>예비비 사용</x:v>
      </x:c>
      <x:c r="C33" s="18" t="str">
        <x:v>처리 원칙</x:v>
      </x:c>
      <x:c r="D33" s="18" t="str">
        <x:v>예시</x:v>
      </x:c>
      <x:c r="E33" s="18" t="str">
        <x:v>본항목 수정</x:v>
      </x:c>
      <x:c r="F33" s="18" t="str">
        <x:v>담당</x:v>
      </x:c>
      <x:c r="G33" s="18" t="str">
        <x:v>사전예방</x:v>
      </x:c>
      <x:c r="H33" s="18" t="str">
        <x:v>비고</x:v>
      </x:c>
      <x:c r="I33" s="18" t="str">
        <x:v>발생액</x:v>
      </x:c>
      <x:c r="J33" s="18" t="str">
        <x:v>승인</x:v>
      </x:c>
    </x:row>
    <x:row r="34">
      <x:c r="A34" s="22" t="str">
        <x:v>현장 시공 구조·사인 수정</x:v>
      </x:c>
      <x:c r="B34" s="22" t="str">
        <x:v>가능</x:v>
      </x:c>
      <x:c r="C34" s="22" t="str">
        <x:v>예측불가 소규모 추가대응</x:v>
      </x:c>
      <x:c r="D34" s="22" t="str">
        <x:v>현장간섭으로 위치수정</x:v>
      </x:c>
      <x:c r="E34" s="22" t="str">
        <x:v>아니오</x:v>
      </x:c>
      <x:c r="F34" s="22" t="str"/>
      <x:c r="G34" s="22" t="str">
        <x:v>사전실측</x:v>
      </x:c>
      <x:c r="H34" s="22" t="str"/>
      <x:c r="I34" s="22" t="str"/>
      <x:c r="J34" s="22" t="str"/>
    </x:row>
    <x:row r="35">
      <x:c r="A35" s="22" t="str">
        <x:v>설치·철거 시간 초과</x:v>
      </x:c>
      <x:c r="B35" s="22" t="str">
        <x:v>가능</x:v>
      </x:c>
      <x:c r="C35" s="22" t="str">
        <x:v>실제 초과 발생 시</x:v>
      </x:c>
      <x:c r="D35" s="22" t="str">
        <x:v>야간추가작업</x:v>
      </x:c>
      <x:c r="E35" s="22" t="str">
        <x:v>아니오</x:v>
      </x:c>
      <x:c r="F35" s="22" t="str"/>
      <x:c r="G35" s="22" t="str">
        <x:v>작업계획</x:v>
      </x:c>
      <x:c r="H35" s="22" t="str"/>
      <x:c r="I35" s="22" t="str"/>
      <x:c r="J35" s="22" t="str"/>
    </x:row>
    <x:row r="36">
      <x:c r="A36" s="22" t="str">
        <x:v>운영인력 긴급 추가</x:v>
      </x:c>
      <x:c r="B36" s="22" t="str">
        <x:v>가능</x:v>
      </x:c>
      <x:c r="C36" s="22" t="str">
        <x:v>당일 혼잡 대응</x:v>
      </x:c>
      <x:c r="D36" s="22" t="str">
        <x:v>주말 피크 지원</x:v>
      </x:c>
      <x:c r="E36" s="22" t="str">
        <x:v>아니오</x:v>
      </x:c>
      <x:c r="F36" s="22" t="str"/>
      <x:c r="G36" s="22" t="str">
        <x:v>시뮬레이션</x:v>
      </x:c>
      <x:c r="H36" s="22" t="str"/>
      <x:c r="I36" s="22" t="str"/>
      <x:c r="J36" s="22" t="str"/>
    </x:row>
    <x:row r="37">
      <x:c r="A37" s="22" t="str">
        <x:v>장비 고장·대체</x:v>
      </x:c>
      <x:c r="B37" s="22" t="str">
        <x:v>가능</x:v>
      </x:c>
      <x:c r="C37" s="22" t="str">
        <x:v>긴급 대체</x:v>
      </x:c>
      <x:c r="D37" s="22" t="str">
        <x:v>태블릿/진단기 장애</x:v>
      </x:c>
      <x:c r="E37" s="22" t="str">
        <x:v>아니오</x:v>
      </x:c>
      <x:c r="F37" s="22" t="str"/>
      <x:c r="G37" s="22" t="str">
        <x:v>예비장비</x:v>
      </x:c>
      <x:c r="H37" s="22" t="str"/>
      <x:c r="I37" s="22" t="str"/>
      <x:c r="J37" s="22" t="str"/>
    </x:row>
    <x:row r="38">
      <x:c r="A38" s="22" t="str">
        <x:v>샘플·인쇄물 긴급 추가</x:v>
      </x:c>
      <x:c r="B38" s="22" t="str">
        <x:v>가능</x:v>
      </x:c>
      <x:c r="C38" s="22" t="str">
        <x:v>예상 초과 소진</x:v>
      </x:c>
      <x:c r="D38" s="22" t="str">
        <x:v>팸플릿 추가출력</x:v>
      </x:c>
      <x:c r="E38" s="22" t="str">
        <x:v>아니오</x:v>
      </x:c>
      <x:c r="F38" s="22" t="str"/>
      <x:c r="G38" s="22" t="str">
        <x:v>안전재고</x:v>
      </x:c>
      <x:c r="H38" s="22" t="str"/>
      <x:c r="I38" s="22" t="str"/>
      <x:c r="J38" s="22" t="str"/>
    </x:row>
    <x:row r="39">
      <x:c r="A39" s="22" t="str">
        <x:v>대관료·시공비 원래 견적 상승</x:v>
      </x:c>
      <x:c r="B39" s="22" t="str">
        <x:v>불가</x:v>
      </x:c>
      <x:c r="C39" s="22" t="str">
        <x:v>본 항목 예산 수정</x:v>
      </x:c>
      <x:c r="D39" s="22" t="str">
        <x:v>계약견적 상승</x:v>
      </x:c>
      <x:c r="E39" s="22" t="str">
        <x:v>예</x:v>
      </x:c>
      <x:c r="F39" s="22" t="str"/>
      <x:c r="G39" s="22" t="str">
        <x:v>사전견적</x:v>
      </x:c>
      <x:c r="H39" s="22" t="str"/>
      <x:c r="I39" s="22" t="str"/>
      <x:c r="J39" s="22" t="str"/>
    </x:row>
    <x:row r="40">
      <x:c r="A40" s="22" t="str">
        <x:v>처음부터 예정된 추가 제작</x:v>
      </x:c>
      <x:c r="B40" s="22" t="str">
        <x:v>불가</x:v>
      </x:c>
      <x:c r="C40" s="22" t="str">
        <x:v>본 항목 정식 반영</x:v>
      </x:c>
      <x:c r="D40" s="22" t="str">
        <x:v>예정 포토존 추가</x:v>
      </x:c>
      <x:c r="E40" s="22" t="str">
        <x:v>예</x:v>
      </x:c>
      <x:c r="F40" s="22" t="str"/>
      <x:c r="G40" s="22" t="str">
        <x:v>기획확정</x:v>
      </x:c>
      <x:c r="H40" s="22" t="str"/>
      <x:c r="I40" s="22" t="str"/>
      <x:c r="J40" s="22" t="str"/>
    </x:row>
  </x:sheetData>
  <x:mergeCells>
    <x:mergeCell ref="A1:J1"/>
    <x:mergeCell ref="A3:J3"/>
    <x:mergeCell ref="A5:J5"/>
    <x:mergeCell ref="A10:J10"/>
    <x:mergeCell ref="A24:B24"/>
    <x:mergeCell ref="A26:J26"/>
    <x:mergeCell ref="A30:J30"/>
    <x:mergeCell ref="A32:J3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34" hidden="0" customWidth="1"/>
    <x:col min="4" max="4" width="24" hidden="0" customWidth="1"/>
    <x:col min="5" max="5" width="26" hidden="0" customWidth="1"/>
    <x:col min="6" max="6" width="14" hidden="0" customWidth="1"/>
    <x:col min="7" max="7" width="30" hidden="0" customWidth="1"/>
    <x:col min="8" max="8" width="22" hidden="0" customWidth="1"/>
    <x:col min="9" max="9" width="14" hidden="0" customWidth="1"/>
    <x:col min="10" max="10" width="14" hidden="0" customWidth="1"/>
    <x:col min="11" max="11" width="12" hidden="0" customWidth="1"/>
  </x:cols>
  <x:sheetData>
    <x:row r="1" ht="30" customHeight="1">
      <x:c r="A1" s="4" t="str">
        <x:v>14. 총예산 정리</x:v>
      </x:c>
    </x:row>
    <x:row r="3" ht="34" customHeight="1">
      <x:c r="A3" s="10" t="str">
        <x:v>현재 총액은 1차 예산이며 최종 계약금액이 아니다. 별도 견적 항목을 실제 값으로 교체하고 예비비를 다시 계산해야 한다.</x:v>
      </x:c>
    </x:row>
    <x:row r="5" ht="24" customHeight="1">
      <x:c r="A5" s="26" t="str">
        <x:v>14-1. 현재까지 확인된 예산</x:v>
      </x:c>
    </x:row>
    <x:row r="6">
      <x:c r="A6" s="18" t="str">
        <x:v>번호</x:v>
      </x:c>
      <x:c r="B6" s="18" t="str">
        <x:v>예산 항목</x:v>
      </x:c>
      <x:c r="C6" s="18" t="str">
        <x:v>가격 산정 기준</x:v>
      </x:c>
      <x:c r="D6" s="18" t="str">
        <x:v>현재 반영액</x:v>
      </x:c>
      <x:c r="E6" s="18" t="str">
        <x:v>상태</x:v>
      </x:c>
      <x:c r="F6" s="18" t="str">
        <x:v>확정도</x:v>
      </x:c>
      <x:c r="G6" s="18" t="str">
        <x:v>주요 미반영</x:v>
      </x:c>
      <x:c r="H6" s="18" t="str">
        <x:v>최종 조치</x:v>
      </x:c>
      <x:c r="I6" s="18" t="str">
        <x:v>비고</x:v>
      </x:c>
      <x:c r="J6" s="18" t="str">
        <x:v>시트</x:v>
      </x:c>
      <x:c r="K6" s="18" t="str">
        <x:v>출처/기준</x:v>
      </x:c>
    </x:row>
    <x:row r="7">
      <x:c r="A7" s="22" t="n">
        <x:v>2</x:v>
      </x:c>
      <x:c r="B7" s="22" t="str">
        <x:v>공간 대관비</x:v>
      </x:c>
      <x:c r="C7" s="22" t="str">
        <x:v>연무장길33 최소가 7백만원/일×15일</x:v>
      </x:c>
      <x:c r="D7" s="28" t="n">
        <x:v>105000000</x:v>
      </x:c>
      <x:c r="E7" s="22" t="str">
        <x:v>공개 최소가 계산</x:v>
      </x:c>
      <x:c r="F7" s="22" t="str">
        <x:v>낮음</x:v>
      </x:c>
      <x:c r="G7" s="22" t="str">
        <x:v>실제 층/면적/VAT/관리비</x:v>
      </x:c>
      <x:c r="H7" s="22" t="str">
        <x:v>정식 계약가 교체</x:v>
      </x:c>
      <x:c r="I7" s="22" t="str"/>
      <x:c r="J7" s="22" t="str">
        <x:v>02_공간대관</x:v>
      </x:c>
      <x:c r="K7" s="22" t="str">
        <x:v>연무장길33</x:v>
      </x:c>
    </x:row>
    <x:row r="8">
      <x:c r="A8" s="22" t="n">
        <x:v>3</x:v>
      </x:c>
      <x:c r="B8" s="22" t="str">
        <x:v>기획·공간 디자인비</x:v>
      </x:c>
      <x:c r="C8" s="22" t="str">
        <x:v>KOHOBLUU Premium+4.5%</x:v>
      </x:c>
      <x:c r="D8" s="28" t="n">
        <x:v>2612500</x:v>
      </x:c>
      <x:c r="E8" s="22" t="str">
        <x:v>일부 공개가격</x:v>
      </x:c>
      <x:c r="F8" s="22" t="str">
        <x:v>중간</x:v>
      </x:c>
      <x:c r="G8" s="22" t="str">
        <x:v>PM/실시설계/감리</x:v>
      </x:c>
      <x:c r="H8" s="22" t="str">
        <x:v>정식 견적 추가</x:v>
      </x:c>
      <x:c r="I8" s="22" t="str"/>
      <x:c r="J8" s="22" t="str">
        <x:v>03_기획공간디자인</x:v>
      </x:c>
      <x:c r="K8" s="22" t="str">
        <x:v>KOHOBLUU/OFNR</x:v>
      </x:c>
    </x:row>
    <x:row r="9">
      <x:c r="A9" s="22" t="n">
        <x:v>4</x:v>
      </x:c>
      <x:c r="B9" s="22" t="str">
        <x:v>공간 시공·VMD</x:v>
      </x:c>
      <x:c r="C9" s="22" t="str">
        <x:v>58평×2백만원 가정</x:v>
      </x:c>
      <x:c r="D9" s="28" t="n">
        <x:v>116000000</x:v>
      </x:c>
      <x:c r="E9" s="22" t="str">
        <x:v>가예산 재검증</x:v>
      </x:c>
      <x:c r="F9" s="22" t="str">
        <x:v>낮음</x:v>
      </x:c>
      <x:c r="G9" s="22" t="str">
        <x:v>전체 시공견적</x:v>
      </x:c>
      <x:c r="H9" s="22" t="str">
        <x:v>3개사 비교 후 교체</x:v>
      </x:c>
      <x:c r="I9" s="22" t="str">
        <x:v>확정값 사용 금지</x:v>
      </x:c>
      <x:c r="J9" s="22" t="str">
        <x:v>04_공간시공VMD</x:v>
      </x:c>
      <x:c r="K9" s="22" t="str">
        <x:v>이전 예산 가정</x:v>
      </x:c>
    </x:row>
    <x:row r="10">
      <x:c r="A10" s="22" t="n">
        <x:v>5</x:v>
      </x:c>
      <x:c r="B10" s="22" t="str">
        <x:v>철거·원상복구</x:v>
      </x:c>
      <x:c r="C10" s="22" t="str">
        <x:v>시공가10% 가정</x:v>
      </x:c>
      <x:c r="D10" s="28" t="n">
        <x:v>11600000</x:v>
      </x:c>
      <x:c r="E10" s="22" t="str">
        <x:v>가예산 재검증</x:v>
      </x:c>
      <x:c r="F10" s="22" t="str">
        <x:v>낮음</x:v>
      </x:c>
      <x:c r="G10" s="22" t="str">
        <x:v>통합 철거견적</x:v>
      </x:c>
      <x:c r="H10" s="22" t="str">
        <x:v>4번 시공사 묶음견적</x:v>
      </x:c>
      <x:c r="I10" s="22" t="str">
        <x:v>확정값 사용 금지</x:v>
      </x:c>
      <x:c r="J10" s="22" t="str">
        <x:v>05_철거원상복구</x:v>
      </x:c>
      <x:c r="K10" s="22" t="str">
        <x:v>이전 예산 가정</x:v>
      </x:c>
    </x:row>
    <x:row r="11">
      <x:c r="A11" s="22" t="n">
        <x:v>6</x:v>
      </x:c>
      <x:c r="B11" s="22" t="str">
        <x:v>집기·피부진단·웨이팅·디지털</x:v>
      </x:c>
      <x:c r="C11" s="22" t="str">
        <x:v>공개가격 확인분</x:v>
      </x:c>
      <x:c r="D11" s="28" t="n">
        <x:v>9684900</x:v>
      </x:c>
      <x:c r="E11" s="22" t="str">
        <x:v>일부 공개가격</x:v>
      </x:c>
      <x:c r="F11" s="22" t="str">
        <x:v>중간</x:v>
      </x:c>
      <x:c r="G11" s="22" t="str">
        <x:v>포토부스/웨이팅/앱</x:v>
      </x:c>
      <x:c r="H11" s="22" t="str">
        <x:v>별도견적 추가</x:v>
      </x:c>
      <x:c r="I11" s="22" t="str"/>
      <x:c r="J11" s="22" t="str">
        <x:v>06_장비디지털</x:v>
      </x:c>
      <x:c r="K11" s="22" t="str">
        <x:v>한칸/API100/NowWaiting/크몽</x:v>
      </x:c>
    </x:row>
    <x:row r="12">
      <x:c r="A12" s="22" t="n">
        <x:v>7</x:v>
      </x:c>
      <x:c r="B12" s="22" t="str">
        <x:v>인쇄물·운영 제작물</x:v>
      </x:c>
      <x:c r="C12" s="22" t="str">
        <x:v>나눔+레드프린팅</x:v>
      </x:c>
      <x:c r="D12" s="28" t="n">
        <x:v>1027700</x:v>
      </x:c>
      <x:c r="E12" s="22" t="str">
        <x:v>일부 공개가격</x:v>
      </x:c>
      <x:c r="F12" s="22" t="str">
        <x:v>중간</x:v>
      </x:c>
      <x:c r="G12" s="22" t="str">
        <x:v>100부/내지/VAT/배송</x:v>
      </x:c>
      <x:c r="H12" s="22" t="str">
        <x:v>장바구니/견적 확인</x:v>
      </x:c>
      <x:c r="I12" s="22" t="str"/>
      <x:c r="J12" s="22" t="str">
        <x:v>07_인쇄제작물</x:v>
      </x:c>
      <x:c r="K12" s="22" t="str">
        <x:v>나눔/레드프린팅</x:v>
      </x:c>
    </x:row>
    <x:row r="13">
      <x:c r="A13" s="22" t="n">
        <x:v>8</x:v>
      </x:c>
      <x:c r="B13" s="22" t="str">
        <x:v>샘플·테스터·위생</x:v>
      </x:c>
      <x:c r="C13" s="22" t="str">
        <x:v>공개 소모품만</x:v>
      </x:c>
      <x:c r="D13" s="28" t="n">
        <x:v>330900</x:v>
      </x:c>
      <x:c r="E13" s="22" t="str">
        <x:v>일부 공개가격</x:v>
      </x:c>
      <x:c r="F13" s="22" t="str">
        <x:v>낮음</x:v>
      </x:c>
      <x:c r="G13" s="22" t="str">
        <x:v>샘플OEM/제품원가</x:v>
      </x:c>
      <x:c r="H13" s="22" t="str">
        <x:v>OEM견적 추가</x:v>
      </x:c>
      <x:c r="I13" s="22" t="str"/>
      <x:c r="J13" s="22" t="str">
        <x:v>08_샘플테스터</x:v>
      </x:c>
      <x:c r="K13" s="22" t="str">
        <x:v>코스메디크/HWAJAE/소모품</x:v>
      </x:c>
    </x:row>
    <x:row r="14">
      <x:c r="A14" s="22" t="n">
        <x:v>9</x:v>
      </x:c>
      <x:c r="B14" s="22" t="str">
        <x:v>운영 인력비</x:v>
      </x:c>
      <x:c r="C14" s="22" t="str">
        <x:v>시급13,000원</x:v>
      </x:c>
      <x:c r="D14" s="28" t="n">
        <x:v>32292000</x:v>
      </x:c>
      <x:c r="E14" s="22" t="str">
        <x:v>직접 인건비</x:v>
      </x:c>
      <x:c r="F14" s="22" t="str">
        <x:v>중간</x:v>
      </x:c>
      <x:c r="G14" s="22" t="str">
        <x:v>주휴/보험/대행</x:v>
      </x:c>
      <x:c r="H14" s="22" t="str">
        <x:v>고용형태 확정</x:v>
      </x:c>
      <x:c r="I14" s="22" t="str"/>
      <x:c r="J14" s="22" t="str">
        <x:v>09_운영인력</x:v>
      </x:c>
      <x:c r="K14" s="22" t="str">
        <x:v>성수 팝업 채용단가</x:v>
      </x:c>
    </x:row>
    <x:row r="15">
      <x:c r="A15" s="22" t="n">
        <x:v>10</x:v>
      </x:c>
      <x:c r="B15" s="22" t="str">
        <x:v>물류·청소·현장운영</x:v>
      </x:c>
      <x:c r="C15" s="22" t="str">
        <x:v>센디+미소+하나</x:v>
      </x:c>
      <x:c r="D15" s="28" t="n">
        <x:v>1281000</x:v>
      </x:c>
      <x:c r="E15" s="22" t="str">
        <x:v>일부 공개가격</x:v>
      </x:c>
      <x:c r="F15" s="22" t="str">
        <x:v>중간</x:v>
      </x:c>
      <x:c r="G15" s="22" t="str">
        <x:v>인터넷/폐기물</x:v>
      </x:c>
      <x:c r="H15" s="22" t="str">
        <x:v>대관처 확인</x:v>
      </x:c>
      <x:c r="I15" s="22" t="str"/>
      <x:c r="J15" s="22" t="str">
        <x:v>10_물류청소운영</x:v>
      </x:c>
      <x:c r="K15" s="22" t="str">
        <x:v>공개가격</x:v>
      </x:c>
    </x:row>
    <x:row r="16">
      <x:c r="A16" s="22" t="n">
        <x:v>11</x:v>
      </x:c>
      <x:c r="B16" s="22" t="str">
        <x:v>홍보·콘텐츠 제작</x:v>
      </x:c>
      <x:c r="C16" s="22" t="str">
        <x:v>SNS+인플루언서+촬영</x:v>
      </x:c>
      <x:c r="D16" s="28" t="n">
        <x:v>1585525</x:v>
      </x:c>
      <x:c r="E16" s="22" t="str">
        <x:v>일부 공개가격</x:v>
      </x:c>
      <x:c r="F16" s="22" t="str">
        <x:v>중간</x:v>
      </x:c>
      <x:c r="G16" s="22" t="str">
        <x:v>SNS수수료/매체비 범위</x:v>
      </x:c>
      <x:c r="H16" s="22" t="str">
        <x:v>상품조건 확인</x:v>
      </x:c>
      <x:c r="I16" s="22" t="str"/>
      <x:c r="J16" s="22" t="str">
        <x:v>11_홍보콘텐츠</x:v>
      </x:c>
      <x:c r="K16" s="22" t="str">
        <x:v>크몽 공개상품</x:v>
      </x:c>
    </x:row>
    <x:row r="17">
      <x:c r="A17" s="22" t="n">
        <x:v>12</x:v>
      </x:c>
      <x:c r="B17" s="22" t="str">
        <x:v>보험·안전</x:v>
      </x:c>
      <x:c r="C17" s="22" t="str">
        <x:v>안전용품 공개가</x:v>
      </x:c>
      <x:c r="D17" s="28" t="n">
        <x:v>65180</x:v>
      </x:c>
      <x:c r="E17" s="22" t="str">
        <x:v>일부 공개가격</x:v>
      </x:c>
      <x:c r="F17" s="22" t="str">
        <x:v>낮음</x:v>
      </x:c>
      <x:c r="G17" s="22" t="str">
        <x:v>행사보험</x:v>
      </x:c>
      <x:c r="H17" s="22" t="str">
        <x:v>보험사 견적</x:v>
      </x:c>
      <x:c r="I17" s="22" t="str"/>
      <x:c r="J17" s="22" t="str">
        <x:v>12_보험안전</x:v>
      </x:c>
      <x:c r="K17" s="22" t="str">
        <x:v>보험사+안전용품</x:v>
      </x:c>
    </x:row>
    <x:row r="19">
      <x:c r="A19" s="30" t="str">
        <x:v>현재 확인 가능 직접비</x:v>
      </x:c>
      <x:c r="B19" s="30"/>
      <x:c r="C19" s="30"/>
      <x:c r="D19" s="32" t="n">
        <x:f>SUM(D7:D17)</x:f>
        <x:v>281479705</x:v>
      </x:c>
      <x:c r="E19" s="30"/>
      <x:c r="F19" s="30"/>
      <x:c r="G19" s="30"/>
      <x:c r="H19" s="30"/>
      <x:c r="I19" s="30"/>
      <x:c r="J19" s="30"/>
      <x:c r="K19" s="30"/>
    </x:row>
    <x:row r="20">
      <x:c r="A20" s="30" t="str">
        <x:v>13. 예비비 (현재 직접비의 10%)</x:v>
      </x:c>
      <x:c r="B20" s="30"/>
      <x:c r="C20" s="30"/>
      <x:c r="D20" s="32" t="n">
        <x:f>D19*10%</x:f>
        <x:v>28147970.5</x:v>
      </x:c>
      <x:c r="E20" s="30"/>
      <x:c r="F20" s="30"/>
      <x:c r="G20" s="30"/>
      <x:c r="H20" s="30"/>
      <x:c r="I20" s="30"/>
      <x:c r="J20" s="30"/>
      <x:c r="K20" s="30"/>
    </x:row>
    <x:row r="21">
      <x:c r="A21" s="58" t="str">
        <x:v>현재 확인 가능한 1차 총예산</x:v>
      </x:c>
      <x:c r="B21" s="58"/>
      <x:c r="C21" s="58"/>
      <x:c r="D21" s="59" t="n">
        <x:f>D19+D20</x:f>
        <x:v>309627675.5</x:v>
      </x:c>
      <x:c r="E21" s="58"/>
      <x:c r="F21" s="58"/>
      <x:c r="G21" s="58"/>
      <x:c r="H21" s="58"/>
      <x:c r="I21" s="58"/>
      <x:c r="J21" s="58"/>
      <x:c r="K21" s="58"/>
    </x:row>
    <x:row r="24" ht="24" customHeight="1">
      <x:c r="A24" s="26" t="str">
        <x:v>14-2. 아직 금액이 빠져 있는 항목</x:v>
      </x:c>
    </x:row>
    <x:row r="25">
      <x:c r="A25" s="18" t="str">
        <x:v>번호</x:v>
      </x:c>
      <x:c r="B25" s="18" t="str">
        <x:v>구분</x:v>
      </x:c>
      <x:c r="C25" s="18" t="str">
        <x:v>추가 확인 항목</x:v>
      </x:c>
      <x:c r="D25" s="18" t="str">
        <x:v>현재 처리</x:v>
      </x:c>
      <x:c r="E25" s="18" t="str">
        <x:v>예산 영향</x:v>
      </x:c>
      <x:c r="F25" s="18" t="str">
        <x:v>견적 대상</x:v>
      </x:c>
      <x:c r="G25" s="18" t="str">
        <x:v>필요자료</x:v>
      </x:c>
      <x:c r="H25" s="18" t="str">
        <x:v>우선순위</x:v>
      </x:c>
      <x:c r="I25" s="18" t="str">
        <x:v>최종 반영 위치</x:v>
      </x:c>
      <x:c r="J25" s="18" t="str">
        <x:v>담당</x:v>
      </x:c>
      <x:c r="K25" s="18" t="str">
        <x:v>완료</x:v>
      </x:c>
    </x:row>
    <x:row r="26">
      <x:c r="A26" s="22" t="n">
        <x:v>2</x:v>
      </x:c>
      <x:c r="B26" s="22" t="str">
        <x:v>대관</x:v>
      </x:c>
      <x:c r="C26" s="22" t="str">
        <x:v>B1+1F 실제 대관료·관리비·냉난방·전기·보증금</x:v>
      </x:c>
      <x:c r="D26" s="22" t="str">
        <x:v>정식 견적</x:v>
      </x:c>
      <x:c r="E26" s="22" t="str">
        <x:v>큼</x:v>
      </x:c>
      <x:c r="F26" s="22" t="str">
        <x:v>연무장길33</x:v>
      </x:c>
      <x:c r="G26" s="22" t="str">
        <x:v>사용일정/층/면적</x:v>
      </x:c>
      <x:c r="H26" s="22" t="str">
        <x:v>최우선</x:v>
      </x:c>
      <x:c r="I26" s="22" t="str">
        <x:v>2번/14번</x:v>
      </x:c>
      <x:c r="J26" s="22" t="str"/>
      <x:c r="K26" s="22" t="str"/>
    </x:row>
    <x:row r="27">
      <x:c r="A27" s="22" t="n">
        <x:v>3</x:v>
      </x:c>
      <x:c r="B27" s="22" t="str">
        <x:v>디자인</x:v>
      </x:c>
      <x:c r="C27" s="22" t="str">
        <x:v>PM·실시설계·감리</x:v>
      </x:c>
      <x:c r="D27" s="22" t="str">
        <x:v>별도 견적</x:v>
      </x:c>
      <x:c r="E27" s="22" t="str">
        <x:v>중간~큼</x:v>
      </x:c>
      <x:c r="F27" s="22" t="str">
        <x:v>디자인사/PM</x:v>
      </x:c>
      <x:c r="G27" s="22" t="str">
        <x:v>기획안/도면</x:v>
      </x:c>
      <x:c r="H27" s="22" t="str">
        <x:v>높음</x:v>
      </x:c>
      <x:c r="I27" s="22" t="str">
        <x:v>3번/14번</x:v>
      </x:c>
      <x:c r="J27" s="22" t="str"/>
      <x:c r="K27" s="22" t="str"/>
    </x:row>
    <x:row r="28">
      <x:c r="A28" s="22" t="n">
        <x:v>4</x:v>
      </x:c>
      <x:c r="B28" s="22" t="str">
        <x:v>시공</x:v>
      </x:c>
      <x:c r="C28" s="22" t="str">
        <x:v>맞춤 포토존·특수집기·전체 시공</x:v>
      </x:c>
      <x:c r="D28" s="22" t="str">
        <x:v>정식 견적</x:v>
      </x:c>
      <x:c r="E28" s="22" t="str">
        <x:v>매우 큼</x:v>
      </x:c>
      <x:c r="F28" s="22" t="str">
        <x:v>시공사3개</x:v>
      </x:c>
      <x:c r="G28" s="22" t="str">
        <x:v>동일 도면/사양</x:v>
      </x:c>
      <x:c r="H28" s="22" t="str">
        <x:v>최우선</x:v>
      </x:c>
      <x:c r="I28" s="22" t="str">
        <x:v>4번/14번</x:v>
      </x:c>
      <x:c r="J28" s="22" t="str"/>
      <x:c r="K28" s="22" t="str"/>
    </x:row>
    <x:row r="29">
      <x:c r="A29" s="22" t="n">
        <x:v>5</x:v>
      </x:c>
      <x:c r="B29" s="22" t="str">
        <x:v>철거</x:v>
      </x:c>
      <x:c r="C29" s="22" t="str">
        <x:v>야간철거·폐기·원상복구</x:v>
      </x:c>
      <x:c r="D29" s="22" t="str">
        <x:v>별도 견적</x:v>
      </x:c>
      <x:c r="E29" s="22" t="str">
        <x:v>큼</x:v>
      </x:c>
      <x:c r="F29" s="22" t="str">
        <x:v>4번 선정 시공사</x:v>
      </x:c>
      <x:c r="G29" s="22" t="str">
        <x:v>철거조건</x:v>
      </x:c>
      <x:c r="H29" s="22" t="str">
        <x:v>높음</x:v>
      </x:c>
      <x:c r="I29" s="22" t="str">
        <x:v>5번/14번</x:v>
      </x:c>
      <x:c r="J29" s="22" t="str"/>
      <x:c r="K29" s="22" t="str"/>
    </x:row>
    <x:row r="30">
      <x:c r="A30" s="22" t="n">
        <x:v>6</x:v>
      </x:c>
      <x:c r="B30" s="22" t="str">
        <x:v>장비</x:v>
      </x:c>
      <x:c r="C30" s="22" t="str">
        <x:v>피부분석 앱·설치·교육</x:v>
      </x:c>
      <x:c r="D30" s="22" t="str">
        <x:v>별도 견적</x:v>
      </x:c>
      <x:c r="E30" s="22" t="str">
        <x:v>중간</x:v>
      </x:c>
      <x:c r="F30" s="22" t="str">
        <x:v>Aram Huvis/판매처</x:v>
      </x:c>
      <x:c r="G30" s="22" t="str">
        <x:v>장비수량</x:v>
      </x:c>
      <x:c r="H30" s="22" t="str">
        <x:v>높음</x:v>
      </x:c>
      <x:c r="I30" s="22" t="str">
        <x:v>6번/14번</x:v>
      </x:c>
      <x:c r="J30" s="22" t="str"/>
      <x:c r="K30" s="22" t="str"/>
    </x:row>
    <x:row r="31">
      <x:c r="A31" s="22" t="n">
        <x:v>6</x:v>
      </x:c>
      <x:c r="B31" s="22" t="str">
        <x:v>웨이팅</x:v>
      </x:c>
      <x:c r="C31" s="22" t="str">
        <x:v>나우웨이팅 팝업10일 이용료</x:v>
      </x:c>
      <x:c r="D31" s="22" t="str">
        <x:v>별도 견적</x:v>
      </x:c>
      <x:c r="E31" s="22" t="str">
        <x:v>중간</x:v>
      </x:c>
      <x:c r="F31" s="22" t="str">
        <x:v>나우웨이팅</x:v>
      </x:c>
      <x:c r="G31" s="22" t="str">
        <x:v>팀수/알림수</x:v>
      </x:c>
      <x:c r="H31" s="22" t="str">
        <x:v>높음</x:v>
      </x:c>
      <x:c r="I31" s="22" t="str">
        <x:v>6번/14번</x:v>
      </x:c>
      <x:c r="J31" s="22" t="str"/>
      <x:c r="K31" s="22" t="str"/>
    </x:row>
    <x:row r="32">
      <x:c r="A32" s="22" t="n">
        <x:v>6</x:v>
      </x:c>
      <x:c r="B32" s="22" t="str">
        <x:v>포토부스</x:v>
      </x:c>
      <x:c r="C32" s="22" t="str">
        <x:v>MUFI 10일 장기대여</x:v>
      </x:c>
      <x:c r="D32" s="22" t="str">
        <x:v>별도 견적</x:v>
      </x:c>
      <x:c r="E32" s="22" t="str">
        <x:v>중간</x:v>
      </x:c>
      <x:c r="F32" s="22" t="str">
        <x:v>MUFI</x:v>
      </x:c>
      <x:c r="G32" s="22" t="str">
        <x:v>운영일수/브랜딩</x:v>
      </x:c>
      <x:c r="H32" s="22" t="str">
        <x:v>높음</x:v>
      </x:c>
      <x:c r="I32" s="22" t="str">
        <x:v>6번/14번</x:v>
      </x:c>
      <x:c r="J32" s="22" t="str"/>
      <x:c r="K32" s="22" t="str"/>
    </x:row>
    <x:row r="33">
      <x:c r="A33" s="22" t="n">
        <x:v>7</x:v>
      </x:c>
      <x:c r="B33" s="22" t="str">
        <x:v>인쇄</x:v>
      </x:c>
      <x:c r="C33" s="22" t="str">
        <x:v>팸플릿100부·내지·배송/VAT</x:v>
      </x:c>
      <x:c r="D33" s="22" t="str">
        <x:v>추가 확인</x:v>
      </x:c>
      <x:c r="E33" s="22" t="str">
        <x:v>작음</x:v>
      </x:c>
      <x:c r="F33" s="22" t="str">
        <x:v>나눔/레드</x:v>
      </x:c>
      <x:c r="G33" s="22" t="str">
        <x:v>파일/수량</x:v>
      </x:c>
      <x:c r="H33" s="22" t="str">
        <x:v>중간</x:v>
      </x:c>
      <x:c r="I33" s="22" t="str">
        <x:v>7번/14번</x:v>
      </x:c>
      <x:c r="J33" s="22" t="str"/>
      <x:c r="K33" s="22" t="str"/>
    </x:row>
    <x:row r="34">
      <x:c r="A34" s="22" t="n">
        <x:v>8</x:v>
      </x:c>
      <x:c r="B34" s="22" t="str">
        <x:v>샘플</x:v>
      </x:c>
      <x:c r="C34" s="22" t="str">
        <x:v>3,100명분 샘플 OEM</x:v>
      </x:c>
      <x:c r="D34" s="22" t="str">
        <x:v>OEM 견적</x:v>
      </x:c>
      <x:c r="E34" s="22" t="str">
        <x:v>중간~큼</x:v>
      </x:c>
      <x:c r="F34" s="22" t="str">
        <x:v>OEM사</x:v>
      </x:c>
      <x:c r="G34" s="22" t="str">
        <x:v>사양/수량</x:v>
      </x:c>
      <x:c r="H34" s="22" t="str">
        <x:v>높음</x:v>
      </x:c>
      <x:c r="I34" s="22" t="str">
        <x:v>8번/14번</x:v>
      </x:c>
      <x:c r="J34" s="22" t="str"/>
      <x:c r="K34" s="22" t="str"/>
    </x:row>
    <x:row r="35">
      <x:c r="A35" s="22" t="n">
        <x:v>8</x:v>
      </x:c>
      <x:c r="B35" s="22" t="str">
        <x:v>테스터</x:v>
      </x:c>
      <x:c r="C35" s="22" t="str">
        <x:v>16종 실제 제품원가</x:v>
      </x:c>
      <x:c r="D35" s="22" t="str">
        <x:v>원가 확인</x:v>
      </x:c>
      <x:c r="E35" s="22" t="str">
        <x:v>중간</x:v>
      </x:c>
      <x:c r="F35" s="22" t="str">
        <x:v>OEM사/브랜드</x:v>
      </x:c>
      <x:c r="G35" s="22" t="str">
        <x:v>용량/사용량</x:v>
      </x:c>
      <x:c r="H35" s="22" t="str">
        <x:v>높음</x:v>
      </x:c>
      <x:c r="I35" s="22" t="str">
        <x:v>8번/14번</x:v>
      </x:c>
      <x:c r="J35" s="22" t="str"/>
      <x:c r="K35" s="22" t="str"/>
    </x:row>
    <x:row r="36">
      <x:c r="A36" s="22" t="n">
        <x:v>9</x:v>
      </x:c>
      <x:c r="B36" s="22" t="str">
        <x:v>인건비</x:v>
      </x:c>
      <x:c r="C36" s="22" t="str">
        <x:v>주휴수당·보험·대행</x:v>
      </x:c>
      <x:c r="D36" s="22" t="str">
        <x:v>계약형태 확인</x:v>
      </x:c>
      <x:c r="E36" s="22" t="str">
        <x:v>중간</x:v>
      </x:c>
      <x:c r="F36" s="22" t="str">
        <x:v>인력대행/노무</x:v>
      </x:c>
      <x:c r="G36" s="22" t="str">
        <x:v>스케줄/계약</x:v>
      </x:c>
      <x:c r="H36" s="22" t="str">
        <x:v>높음</x:v>
      </x:c>
      <x:c r="I36" s="22" t="str">
        <x:v>9번/14번</x:v>
      </x:c>
      <x:c r="J36" s="22" t="str"/>
      <x:c r="K36" s="22" t="str"/>
    </x:row>
    <x:row r="37">
      <x:c r="A37" s="22" t="n">
        <x:v>10</x:v>
      </x:c>
      <x:c r="B37" s="22" t="str">
        <x:v>운영</x:v>
      </x:c>
      <x:c r="C37" s="22" t="str">
        <x:v>인터넷·폐기물</x:v>
      </x:c>
      <x:c r="D37" s="22" t="str">
        <x:v>대관처 확인</x:v>
      </x:c>
      <x:c r="E37" s="22" t="str">
        <x:v>작음~중간</x:v>
      </x:c>
      <x:c r="F37" s="22" t="str">
        <x:v>대관처/통신사</x:v>
      </x:c>
      <x:c r="G37" s="22" t="str">
        <x:v>운영조건</x:v>
      </x:c>
      <x:c r="H37" s="22" t="str">
        <x:v>중간</x:v>
      </x:c>
      <x:c r="I37" s="22" t="str">
        <x:v>10번/14번</x:v>
      </x:c>
      <x:c r="J37" s="22" t="str"/>
      <x:c r="K37" s="22" t="str"/>
    </x:row>
    <x:row r="38">
      <x:c r="A38" s="22" t="n">
        <x:v>11</x:v>
      </x:c>
      <x:c r="B38" s="22" t="str">
        <x:v>홍보</x:v>
      </x:c>
      <x:c r="C38" s="22" t="str">
        <x:v>메타 광고 매체비 포함 여부</x:v>
      </x:c>
      <x:c r="D38" s="22" t="str">
        <x:v>상품조건 확인</x:v>
      </x:c>
      <x:c r="E38" s="22" t="str">
        <x:v>작음~중간</x:v>
      </x:c>
      <x:c r="F38" s="22" t="str">
        <x:v>인플루언서수오</x:v>
      </x:c>
      <x:c r="G38" s="22" t="str">
        <x:v>상품범위</x:v>
      </x:c>
      <x:c r="H38" s="22" t="str">
        <x:v>중간</x:v>
      </x:c>
      <x:c r="I38" s="22" t="str">
        <x:v>11번/14번</x:v>
      </x:c>
      <x:c r="J38" s="22" t="str"/>
      <x:c r="K38" s="22" t="str"/>
    </x:row>
    <x:row r="39">
      <x:c r="A39" s="22" t="n">
        <x:v>12</x:v>
      </x:c>
      <x:c r="B39" s="22" t="str">
        <x:v>안전</x:v>
      </x:c>
      <x:c r="C39" s="22" t="str">
        <x:v>행사주최자 배상책임보험</x:v>
      </x:c>
      <x:c r="D39" s="22" t="str">
        <x:v>보험사 견적</x:v>
      </x:c>
      <x:c r="E39" s="22" t="str">
        <x:v>중간</x:v>
      </x:c>
      <x:c r="F39" s="22" t="str">
        <x:v>KB/현대/DB</x:v>
      </x:c>
      <x:c r="G39" s="22" t="str">
        <x:v>행사개요</x:v>
      </x:c>
      <x:c r="H39" s="22" t="str">
        <x:v>높음</x:v>
      </x:c>
      <x:c r="I39" s="22" t="str">
        <x:v>12번/14번</x:v>
      </x:c>
      <x:c r="J39" s="22" t="str"/>
      <x:c r="K39" s="22" t="str"/>
    </x:row>
    <x:row r="42" ht="24" customHeight="1">
      <x:c r="A42" s="26" t="str">
        <x:v>14-3. VAT 처리 원칙</x:v>
      </x:c>
    </x:row>
    <x:row r="43">
      <x:c r="A43" s="18" t="str">
        <x:v>가격 형태</x:v>
      </x:c>
      <x:c r="B43" s="18" t="str">
        <x:v>처리</x:v>
      </x:c>
      <x:c r="C43" s="18" t="str">
        <x:v>예시</x:v>
      </x:c>
      <x:c r="D43" s="18" t="str">
        <x:v>현재 처리</x:v>
      </x:c>
      <x:c r="E43" s="18" t="str">
        <x:v>최종 조치</x:v>
      </x:c>
      <x:c r="F43" s="18" t="str">
        <x:v>주의</x:v>
      </x:c>
      <x:c r="G43" s="18" t="str">
        <x:v>공급가</x:v>
      </x:c>
      <x:c r="H43" s="18" t="str">
        <x:v>VAT</x:v>
      </x:c>
      <x:c r="I43" s="18" t="str">
        <x:v>최종지급액</x:v>
      </x:c>
      <x:c r="J43" s="18" t="str">
        <x:v>담당</x:v>
      </x:c>
      <x:c r="K43" s="18" t="str">
        <x:v>완료</x:v>
      </x:c>
    </x:row>
    <x:row r="44">
      <x:c r="A44" s="22" t="str">
        <x:v>VAT 포함 명시</x:v>
      </x:c>
      <x:c r="B44" s="22" t="str">
        <x:v>그대로 반영</x:v>
      </x:c>
      <x:c r="C44" s="22" t="str">
        <x:v>일부 플랫폼수수료</x:v>
      </x:c>
      <x:c r="D44" s="22" t="str">
        <x:v>포함가격 사용</x:v>
      </x:c>
      <x:c r="E44" s="22" t="str">
        <x:v>그대로 유지</x:v>
      </x:c>
      <x:c r="F44" s="22" t="str">
        <x:v>중복10% 금지</x:v>
      </x:c>
      <x:c r="G44" s="22" t="str"/>
      <x:c r="H44" s="22" t="str"/>
      <x:c r="I44" s="22" t="str"/>
      <x:c r="J44" s="22" t="str"/>
      <x:c r="K44" s="22" t="str"/>
    </x:row>
    <x:row r="45">
      <x:c r="A45" s="22" t="str">
        <x:v>VAT 별도 명시</x:v>
      </x:c>
      <x:c r="B45" s="22" t="str">
        <x:v>실제 VAT 추가</x:v>
      </x:c>
      <x:c r="C45" s="22" t="str">
        <x:v>MUFI 등</x:v>
      </x:c>
      <x:c r="D45" s="22" t="str">
        <x:v>현재 미확정</x:v>
      </x:c>
      <x:c r="E45" s="22" t="str">
        <x:v>견적서 기준 추가</x:v>
      </x:c>
      <x:c r="F45" s="22" t="str">
        <x:v>전체예산 일괄10% 금지</x:v>
      </x:c>
      <x:c r="G45" s="22" t="str"/>
      <x:c r="H45" s="22" t="str"/>
      <x:c r="I45" s="22" t="str"/>
      <x:c r="J45" s="22" t="str"/>
      <x:c r="K45" s="22" t="str"/>
    </x:row>
    <x:row r="46">
      <x:c r="A46" s="22" t="str">
        <x:v>인건비</x:v>
      </x:c>
      <x:c r="B46" s="22" t="str">
        <x:v>상품구매처럼 VAT10% 적용 안 함</x:v>
      </x:c>
      <x:c r="C46" s="22" t="str">
        <x:v>직접고용</x:v>
      </x:c>
      <x:c r="D46" s="22" t="str">
        <x:v>직접인건비</x:v>
      </x:c>
      <x:c r="E46" s="22" t="str">
        <x:v>고용형태별 법정비용</x:v>
      </x:c>
      <x:c r="F46" s="22" t="str">
        <x:v>노무/대행 계약 확인</x:v>
      </x:c>
      <x:c r="G46" s="22" t="str"/>
      <x:c r="H46" s="22" t="str"/>
      <x:c r="I46" s="22" t="str"/>
      <x:c r="J46" s="22" t="str"/>
      <x:c r="K46" s="22" t="str"/>
    </x:row>
    <x:row r="47">
      <x:c r="A47" s="22" t="str">
        <x:v>VAT 불명확</x:v>
      </x:c>
      <x:c r="B47" s="22" t="str">
        <x:v>별도 확인</x:v>
      </x:c>
      <x:c r="C47" s="22" t="str">
        <x:v>온라인 인쇄/판매</x:v>
      </x:c>
      <x:c r="D47" s="22" t="str">
        <x:v>표시가 우선</x:v>
      </x:c>
      <x:c r="E47" s="22" t="str">
        <x:v>결제 전 확인</x:v>
      </x:c>
      <x:c r="F47" s="22" t="str">
        <x:v>추정 금지</x:v>
      </x:c>
      <x:c r="G47" s="22" t="str"/>
      <x:c r="H47" s="22" t="str"/>
      <x:c r="I47" s="22" t="str"/>
      <x:c r="J47" s="22" t="str"/>
      <x:c r="K47" s="22" t="str"/>
    </x:row>
    <x:row r="49" ht="24" customHeight="1">
      <x:c r="A49" s="26" t="str">
        <x:v>14-4. 보증금·반환 예정 자금</x:v>
      </x:c>
    </x:row>
    <x:row r="50">
      <x:c r="A50" s="18" t="str">
        <x:v>구분</x:v>
      </x:c>
      <x:c r="B50" s="18" t="str">
        <x:v>의미</x:v>
      </x:c>
      <x:c r="C50" s="18" t="str">
        <x:v>총행사비 포함</x:v>
      </x:c>
      <x:c r="D50" s="18" t="str">
        <x:v>현금 필요</x:v>
      </x:c>
      <x:c r="E50" s="18" t="str">
        <x:v>예시</x:v>
      </x:c>
      <x:c r="F50" s="18" t="str">
        <x:v>현재 금액</x:v>
      </x:c>
      <x:c r="G50" s="18" t="str">
        <x:v>처리</x:v>
      </x:c>
      <x:c r="H50" s="18" t="str">
        <x:v>반환 예정</x:v>
      </x:c>
      <x:c r="I50" s="18" t="str">
        <x:v>확인처</x:v>
      </x:c>
      <x:c r="J50" s="18" t="str">
        <x:v>담당</x:v>
      </x:c>
      <x:c r="K50" s="18" t="str">
        <x:v>완료</x:v>
      </x:c>
    </x:row>
    <x:row r="51">
      <x:c r="A51" s="22" t="str">
        <x:v>행사 실행비</x:v>
      </x:c>
      <x:c r="B51" s="22" t="str">
        <x:v>실제로 소비되는 비용</x:v>
      </x:c>
      <x:c r="C51" s="22" t="str">
        <x:v>예</x:v>
      </x:c>
      <x:c r="D51" s="22" t="str">
        <x:v>예</x:v>
      </x:c>
      <x:c r="E51" s="22" t="str">
        <x:v>대관/시공/인건비</x:v>
      </x:c>
      <x:c r="F51" s="22" t="str">
        <x:v>-</x:v>
      </x:c>
      <x:c r="G51" s="22" t="str">
        <x:v>총예산 포함</x:v>
      </x:c>
      <x:c r="H51" s="22" t="str">
        <x:v>아니오</x:v>
      </x:c>
      <x:c r="I51" s="22" t="str"/>
      <x:c r="J51" s="22" t="str"/>
      <x:c r="K51" s="22" t="str"/>
    </x:row>
    <x:row r="52">
      <x:c r="A52" s="22" t="str">
        <x:v>VAT</x:v>
      </x:c>
      <x:c r="B52" s="22" t="str">
        <x:v>세금</x:v>
      </x:c>
      <x:c r="C52" s="22" t="str">
        <x:v>예</x:v>
      </x:c>
      <x:c r="D52" s="22" t="str">
        <x:v>예</x:v>
      </x:c>
      <x:c r="E52" s="22" t="str">
        <x:v>업체별 VAT</x:v>
      </x:c>
      <x:c r="F52" s="22" t="str">
        <x:v>-</x:v>
      </x:c>
      <x:c r="G52" s="22" t="str">
        <x:v>업체별 반영</x:v>
      </x:c>
      <x:c r="H52" s="22" t="str">
        <x:v>아니오</x:v>
      </x:c>
      <x:c r="I52" s="22" t="str"/>
      <x:c r="J52" s="22" t="str"/>
      <x:c r="K52" s="22" t="str"/>
    </x:row>
    <x:row r="53">
      <x:c r="A53" s="22" t="str">
        <x:v>보증금</x:v>
      </x:c>
      <x:c r="B53" s="22" t="str">
        <x:v>계약상 임시납부</x:v>
      </x:c>
      <x:c r="C53" s="22" t="str">
        <x:v>아니오</x:v>
      </x:c>
      <x:c r="D53" s="22" t="str">
        <x:v>예</x:v>
      </x:c>
      <x:c r="E53" s="22" t="str">
        <x:v>대관 보증금</x:v>
      </x:c>
      <x:c r="F53" s="22" t="str">
        <x:v>미확인</x:v>
      </x:c>
      <x:c r="G53" s="22" t="str">
        <x:v>별도 현금계획</x:v>
      </x:c>
      <x:c r="H53" s="22" t="str">
        <x:v>예</x:v>
      </x:c>
      <x:c r="I53" s="22" t="str">
        <x:v>대관처</x:v>
      </x:c>
      <x:c r="J53" s="22" t="str"/>
      <x:c r="K53" s="22" t="str"/>
    </x:row>
    <x:row r="54">
      <x:c r="A54" s="22" t="str">
        <x:v>예비비</x:v>
      </x:c>
      <x:c r="B54" s="22" t="str">
        <x:v>돌발상황용</x:v>
      </x:c>
      <x:c r="C54" s="22" t="str">
        <x:v>예산상 포함</x:v>
      </x:c>
      <x:c r="D54" s="22" t="str">
        <x:v>예</x:v>
      </x:c>
      <x:c r="E54" s="22" t="str">
        <x:v>직접비10%</x:v>
      </x:c>
      <x:c r="F54" s="22" t="str">
        <x:v>현재10%</x:v>
      </x:c>
      <x:c r="G54" s="22" t="str">
        <x:v>미사용 시 잔액</x:v>
      </x:c>
      <x:c r="H54" s="22" t="str">
        <x:v>해당없음</x:v>
      </x:c>
      <x:c r="I54" s="22" t="str"/>
      <x:c r="J54" s="22" t="str"/>
      <x:c r="K54" s="22" t="str"/>
    </x:row>
    <x:row r="56" ht="24" customHeight="1">
      <x:c r="A56" s="26" t="str">
        <x:v>14-5. 최종 예산 확정 절차</x:v>
      </x:c>
    </x:row>
    <x:row r="57">
      <x:c r="A57" s="18" t="str">
        <x:v>단계</x:v>
      </x:c>
      <x:c r="B57" s="18" t="str">
        <x:v>해야 할 일</x:v>
      </x:c>
      <x:c r="C57" s="18" t="str">
        <x:v>입력값</x:v>
      </x:c>
      <x:c r="D57" s="18" t="str">
        <x:v>산출값</x:v>
      </x:c>
      <x:c r="E57" s="18" t="str">
        <x:v>예산서 수정</x:v>
      </x:c>
      <x:c r="F57" s="18" t="str">
        <x:v>우선순위</x:v>
      </x:c>
      <x:c r="G57" s="18" t="str">
        <x:v>완료 기준</x:v>
      </x:c>
      <x:c r="H57" s="18" t="str">
        <x:v>비고</x:v>
      </x:c>
      <x:c r="I57" s="18" t="str">
        <x:v>담당</x:v>
      </x:c>
      <x:c r="J57" s="18" t="str">
        <x:v>예정일</x:v>
      </x:c>
      <x:c r="K57" s="18" t="str">
        <x:v>완료</x:v>
      </x:c>
    </x:row>
    <x:row r="58">
      <x:c r="A58" s="22" t="n">
        <x:v>1</x:v>
      </x:c>
      <x:c r="B58" s="22" t="str">
        <x:v>2~12번 정식견적 수집</x:v>
      </x:c>
      <x:c r="C58" s="22" t="str">
        <x:v>업체 견적서/계약조건</x:v>
      </x:c>
      <x:c r="D58" s="22" t="str">
        <x:v>실제 공급가</x:v>
      </x:c>
      <x:c r="E58" s="22" t="str">
        <x:v>각 상세시트 갱신</x:v>
      </x:c>
      <x:c r="F58" s="22" t="str">
        <x:v>최우선</x:v>
      </x:c>
      <x:c r="G58" s="22" t="str">
        <x:v>미확정 항목 해소</x:v>
      </x:c>
      <x:c r="H58" s="22" t="str"/>
      <x:c r="I58" s="22" t="str"/>
      <x:c r="J58" s="22" t="str"/>
      <x:c r="K58" s="22" t="str"/>
    </x:row>
    <x:row r="59">
      <x:c r="A59" s="22" t="n">
        <x:v>2</x:v>
      </x:c>
      <x:c r="B59" s="22" t="str">
        <x:v>미확정 금액 실제값 교체</x:v>
      </x:c>
      <x:c r="C59" s="22" t="str">
        <x:v>샘플/포토부스/보험/시공 등</x:v>
      </x:c>
      <x:c r="D59" s="22" t="str">
        <x:v>최종 직접비</x:v>
      </x:c>
      <x:c r="E59" s="22" t="str">
        <x:v>14-1 갱신</x:v>
      </x:c>
      <x:c r="F59" s="22" t="str">
        <x:v>최우선</x:v>
      </x:c>
      <x:c r="G59" s="22" t="str">
        <x:v>직접비 확정</x:v>
      </x:c>
      <x:c r="H59" s="22" t="str"/>
      <x:c r="I59" s="22" t="str"/>
      <x:c r="J59" s="22" t="str"/>
      <x:c r="K59" s="22" t="str"/>
    </x:row>
    <x:row r="60">
      <x:c r="A60" s="22" t="n">
        <x:v>3</x:v>
      </x:c>
      <x:c r="B60" s="22" t="str">
        <x:v>업체별 VAT 적용</x:v>
      </x:c>
      <x:c r="C60" s="22" t="str">
        <x:v>VAT 포함/별도</x:v>
      </x:c>
      <x:c r="D60" s="22" t="str">
        <x:v>최종 지급액</x:v>
      </x:c>
      <x:c r="E60" s="22" t="str">
        <x:v>VAT 열 갱신</x:v>
      </x:c>
      <x:c r="F60" s="22" t="str">
        <x:v>높음</x:v>
      </x:c>
      <x:c r="G60" s="22" t="str">
        <x:v>업체별 지급액 산출</x:v>
      </x:c>
      <x:c r="H60" s="22" t="str"/>
      <x:c r="I60" s="22" t="str"/>
      <x:c r="J60" s="22" t="str"/>
      <x:c r="K60" s="22" t="str"/>
    </x:row>
    <x:row r="61">
      <x:c r="A61" s="22" t="n">
        <x:v>4</x:v>
      </x:c>
      <x:c r="B61" s="22" t="str">
        <x:v>예비비10% 재계산</x:v>
      </x:c>
      <x:c r="C61" s="22" t="str">
        <x:v>최종 직접비</x:v>
      </x:c>
      <x:c r="D61" s="22" t="str">
        <x:v>최종 예비비</x:v>
      </x:c>
      <x:c r="E61" s="22" t="str">
        <x:v>13번 갱신</x:v>
      </x:c>
      <x:c r="F61" s="22" t="str">
        <x:v>높음</x:v>
      </x:c>
      <x:c r="G61" s="22" t="str">
        <x:v>최종 직접비×10%</x:v>
      </x:c>
      <x:c r="H61" s="22" t="str"/>
      <x:c r="I61" s="22" t="str"/>
      <x:c r="J61" s="22" t="str"/>
      <x:c r="K61" s="22" t="str"/>
    </x:row>
    <x:row r="62">
      <x:c r="A62" s="22" t="n">
        <x:v>5</x:v>
      </x:c>
      <x:c r="B62" s="22" t="str">
        <x:v>반환 보증금 분리</x:v>
      </x:c>
      <x:c r="C62" s="22" t="str">
        <x:v>계약 보증금</x:v>
      </x:c>
      <x:c r="D62" s="22" t="str">
        <x:v>계약시 필요현금</x:v>
      </x:c>
      <x:c r="E62" s="22" t="str">
        <x:v>별도 현금계획</x:v>
      </x:c>
      <x:c r="F62" s="22" t="str">
        <x:v>중간</x:v>
      </x:c>
      <x:c r="G62" s="22" t="str">
        <x:v>총행사비와 분리</x:v>
      </x:c>
      <x:c r="H62" s="22" t="str"/>
      <x:c r="I62" s="22" t="str"/>
      <x:c r="J62" s="22" t="str"/>
      <x:c r="K62" s="22" t="str"/>
    </x:row>
    <x:row r="64" ht="34" customHeight="1">
      <x:c r="A64" s="48" t="str">
        <x:v>포트폴리오 표기 권장: 'LUNEA STATION 1차 실행예산 약 3.10억 원 — 2026년 공개 대관료·업체 판매가·실제 채용단가 및 기존 가예산 기준. 샘플 OEM·10일 포토부스·보험·시공 등 일부 항목은 정식 견적 후 최종 반영.'</x:v>
      </x:c>
    </x:row>
  </x:sheetData>
  <x:mergeCells>
    <x:mergeCell ref="A1:K1"/>
    <x:mergeCell ref="A3:K3"/>
    <x:mergeCell ref="A5:K5"/>
    <x:mergeCell ref="A19:C19"/>
    <x:mergeCell ref="A20:C20"/>
    <x:mergeCell ref="A21:C21"/>
    <x:mergeCell ref="A24:K24"/>
    <x:mergeCell ref="A42:K42"/>
    <x:mergeCell ref="A49:K49"/>
    <x:mergeCell ref="A56:K56"/>
    <x:mergeCell ref="A64:K6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6" hidden="0" customWidth="1"/>
    <x:col min="4" max="4" width="38" hidden="0" customWidth="1"/>
    <x:col min="5" max="5" width="24" hidden="0" customWidth="1"/>
    <x:col min="6" max="6" width="24" hidden="0" customWidth="1"/>
    <x:col min="7" max="7" width="30" hidden="0" customWidth="1"/>
    <x:col min="8" max="8" width="14" hidden="0" customWidth="1"/>
    <x:col min="9" max="9" width="12" hidden="0" customWidth="1"/>
    <x:col min="10" max="10" width="14" hidden="0" customWidth="1"/>
    <x:col min="11" max="11" width="24" hidden="0" customWidth="1"/>
  </x:cols>
  <x:sheetData>
    <x:row r="1" ht="30" customHeight="1">
      <x:c r="A1" s="4" t="str">
        <x:v>LUNEA STATION 2026 실행예산안 — 상세본</x:v>
      </x:c>
    </x:row>
    <x:row r="3" ht="34" customHeight="1">
      <x:c r="A3" s="10" t="str">
        <x:v>1번부터 14번까지의 상세 예산 논리를 그대로 따라가며, 각 세부번호(예: 11-1~11-5)의 설명·기준업체·가격·수량·계산식·반영액·미확정 항목을 함께 정리한 실행예산 백데이터.</x:v>
      </x:c>
    </x:row>
    <x:row r="5" ht="24" customHeight="1">
      <x:c r="A5" s="26" t="str">
        <x:v>프로젝트 기본 조건</x:v>
      </x:c>
    </x:row>
    <x:row r="6">
      <x:c r="A6" s="18" t="str">
        <x:v>항목</x:v>
      </x:c>
      <x:c r="B6" s="18" t="str">
        <x:v>기준</x:v>
      </x:c>
      <x:c r="C6" s="18" t="str">
        <x:v>값</x:v>
      </x:c>
      <x:c r="D6" s="18" t="str">
        <x:v>설명</x:v>
      </x:c>
      <x:c r="E6" s="18" t="str">
        <x:v>예산 영향</x:v>
      </x:c>
      <x:c r="F6" s="18" t="str">
        <x:v>확정도</x:v>
      </x:c>
      <x:c r="G6" s="18" t="str">
        <x:v>연결 시트</x:v>
      </x:c>
      <x:c r="H6" s="18" t="str">
        <x:v>비고</x:v>
      </x:c>
      <x:c r="I6" s="18" t="str">
        <x:v>업데이트</x:v>
      </x:c>
      <x:c r="J6" s="18" t="str">
        <x:v>담당</x:v>
      </x:c>
      <x:c r="K6" s="18" t="str">
        <x:v>완료</x:v>
      </x:c>
    </x:row>
    <x:row r="7">
      <x:c r="A7" s="22" t="str">
        <x:v>행사명</x:v>
      </x:c>
      <x:c r="B7" s="22" t="str">
        <x:v>프로젝트</x:v>
      </x:c>
      <x:c r="C7" s="22" t="str">
        <x:v>LUNEA STATION</x:v>
      </x:c>
      <x:c r="D7" s="22" t="str">
        <x:v>스킨케어 지하철 콘셉트 팝업</x:v>
      </x:c>
      <x:c r="E7" s="22" t="str">
        <x:v>-</x:v>
      </x:c>
      <x:c r="F7" s="22" t="str">
        <x:v>확정</x:v>
      </x:c>
      <x:c r="G7" s="22" t="str">
        <x:v>전체</x:v>
      </x:c>
      <x:c r="H7" s="22" t="str"/>
      <x:c r="I7" s="22" t="str"/>
      <x:c r="J7" s="22" t="str"/>
      <x:c r="K7" s="22" t="str"/>
    </x:row>
    <x:row r="8">
      <x:c r="A8" s="22" t="str">
        <x:v>장소</x:v>
      </x:c>
      <x:c r="B8" s="22" t="str">
        <x:v>대관 후보 확정안</x:v>
      </x:c>
      <x:c r="C8" s="22" t="str">
        <x:v>성수 연무장길 33</x:v>
      </x:c>
      <x:c r="D8" s="22" t="str">
        <x:v>B1+1F 우선 검토</x:v>
      </x:c>
      <x:c r="E8" s="22" t="str">
        <x:v>대관/시공</x:v>
      </x:c>
      <x:c r="F8" s="22" t="str">
        <x:v>부분확정</x:v>
      </x:c>
      <x:c r="G8" s="22" t="str">
        <x:v>02_공간대관</x:v>
      </x:c>
      <x:c r="H8" s="22" t="str">
        <x:v>층별 실제면적 확인</x:v>
      </x:c>
      <x:c r="I8" s="22" t="str"/>
      <x:c r="J8" s="22" t="str"/>
      <x:c r="K8" s="22" t="str"/>
    </x:row>
    <x:row r="9">
      <x:c r="A9" s="22" t="str">
        <x:v>최소 사용면적</x:v>
      </x:c>
      <x:c r="B9" s="22" t="str">
        <x:v>기획 기준</x:v>
      </x:c>
      <x:c r="C9" s="22" t="str">
        <x:v>58평 이상</x:v>
      </x:c>
      <x:c r="D9" s="22" t="str">
        <x:v>실제 전용 사용면적 기준</x:v>
      </x:c>
      <x:c r="E9" s="22" t="str">
        <x:v>시공/VMD</x:v>
      </x:c>
      <x:c r="F9" s="22" t="str">
        <x:v>기준확정</x:v>
      </x:c>
      <x:c r="G9" s="22" t="str">
        <x:v>04_공간시공VMD</x:v>
      </x:c>
      <x:c r="H9" s="22" t="str"/>
      <x:c r="I9" s="22" t="str"/>
      <x:c r="J9" s="22" t="str"/>
      <x:c r="K9" s="22" t="str"/>
    </x:row>
    <x:row r="10">
      <x:c r="A10" s="22" t="str">
        <x:v>대관기간</x:v>
      </x:c>
      <x:c r="B10" s="22" t="str">
        <x:v>일정</x:v>
      </x:c>
      <x:c r="C10" s="22" t="str">
        <x:v>15일</x:v>
      </x:c>
      <x:c r="D10" s="22" t="str">
        <x:v>설치3+리허설1+운영10+철거1</x:v>
      </x:c>
      <x:c r="E10" s="22" t="str">
        <x:v>대관/인력</x:v>
      </x:c>
      <x:c r="F10" s="22" t="str">
        <x:v>확정</x:v>
      </x:c>
      <x:c r="G10" s="22" t="str">
        <x:v>02_공간대관</x:v>
      </x:c>
      <x:c r="H10" s="22" t="str"/>
      <x:c r="I10" s="22" t="str"/>
      <x:c r="J10" s="22" t="str"/>
      <x:c r="K10" s="22" t="str"/>
    </x:row>
    <x:row r="11">
      <x:c r="A11" s="22" t="str">
        <x:v>운영기간</x:v>
      </x:c>
      <x:c r="B11" s="22" t="str">
        <x:v>고객 운영</x:v>
      </x:c>
      <x:c r="C11" s="22" t="str">
        <x:v>10일</x:v>
      </x:c>
      <x:c r="D11" s="22" t="str">
        <x:v>평일6+주말4</x:v>
      </x:c>
      <x:c r="E11" s="22" t="str">
        <x:v>인력/청소/장비</x:v>
      </x:c>
      <x:c r="F11" s="22" t="str">
        <x:v>확정</x:v>
      </x:c>
      <x:c r="G11" s="22" t="str">
        <x:v>09_운영인력</x:v>
      </x:c>
      <x:c r="H11" s="22" t="str"/>
      <x:c r="I11" s="22" t="str"/>
      <x:c r="J11" s="22" t="str"/>
      <x:c r="K11" s="22" t="str"/>
    </x:row>
    <x:row r="12">
      <x:c r="A12" s="22" t="str">
        <x:v>예상 방문객</x:v>
      </x:c>
      <x:c r="B12" s="22" t="str">
        <x:v>시뮬레이션</x:v>
      </x:c>
      <x:c r="C12" s="22" t="str">
        <x:v>약 2,781명</x:v>
      </x:c>
      <x:c r="D12" s="22" t="str">
        <x:v>평일4.5팀/20분, 주말6팀/20분, 평균1.88명/팀</x:v>
      </x:c>
      <x:c r="E12" s="22" t="str">
        <x:v>인쇄/샘플</x:v>
      </x:c>
      <x:c r="F12" s="22" t="str">
        <x:v>계획</x:v>
      </x:c>
      <x:c r="G12" s="22" t="str">
        <x:v>07_인쇄제작물</x:v>
      </x:c>
      <x:c r="H12" s="22" t="str"/>
      <x:c r="I12" s="22" t="str"/>
      <x:c r="J12" s="22" t="str"/>
      <x:c r="K12" s="22" t="str"/>
    </x:row>
    <x:row r="13">
      <x:c r="A13" s="22" t="str">
        <x:v>발주 기준 인원</x:v>
      </x:c>
      <x:c r="B13" s="22" t="str">
        <x:v>예비분 포함</x:v>
      </x:c>
      <x:c r="C13" s="22" t="str">
        <x:v>3,100명</x:v>
      </x:c>
      <x:c r="D13" s="22" t="str">
        <x:v>방문객+약10% 버퍼</x:v>
      </x:c>
      <x:c r="E13" s="22" t="str">
        <x:v>인쇄/소모품</x:v>
      </x:c>
      <x:c r="F13" s="22" t="str">
        <x:v>계획</x:v>
      </x:c>
      <x:c r="G13" s="22" t="str">
        <x:v>07_인쇄제작물</x:v>
      </x:c>
      <x:c r="H13" s="22" t="str">
        <x:v>샘플 OEM은 MOQ에 따라 달라짐</x:v>
      </x:c>
      <x:c r="I13" s="22" t="str"/>
      <x:c r="J13" s="22" t="str"/>
      <x:c r="K13" s="22" t="str"/>
    </x:row>
    <x:row r="14">
      <x:c r="A14" s="22" t="str">
        <x:v>기본 운영인력</x:v>
      </x:c>
      <x:c r="B14" s="22" t="str">
        <x:v>시뮬레이션</x:v>
      </x:c>
      <x:c r="C14" s="22" t="str">
        <x:v>17명</x:v>
      </x:c>
      <x:c r="D14" s="22" t="str">
        <x:v>고객-facing+총괄+재고</x:v>
      </x:c>
      <x:c r="E14" s="22" t="str">
        <x:v>인건비</x:v>
      </x:c>
      <x:c r="F14" s="22" t="str">
        <x:v>계획</x:v>
      </x:c>
      <x:c r="G14" s="22" t="str">
        <x:v>09_운영인력</x:v>
      </x:c>
      <x:c r="H14" s="22" t="str"/>
      <x:c r="I14" s="22" t="str"/>
      <x:c r="J14" s="22" t="str"/>
      <x:c r="K14" s="22" t="str"/>
    </x:row>
    <x:row r="15">
      <x:c r="A15" s="22" t="str">
        <x:v>최대 동시 인력</x:v>
      </x:c>
      <x:c r="B15" s="22" t="str">
        <x:v>주말</x:v>
      </x:c>
      <x:c r="C15" s="22" t="str">
        <x:v>23명</x:v>
      </x:c>
      <x:c r="D15" s="22" t="str">
        <x:v>기본17+대체/피크6</x:v>
      </x:c>
      <x:c r="E15" s="22" t="str">
        <x:v>인건비/명찰</x:v>
      </x:c>
      <x:c r="F15" s="22" t="str">
        <x:v>계획</x:v>
      </x:c>
      <x:c r="G15" s="22" t="str">
        <x:v>09_운영인력</x:v>
      </x:c>
      <x:c r="H15" s="22" t="str"/>
      <x:c r="I15" s="22" t="str"/>
      <x:c r="J15" s="22" t="str"/>
      <x:c r="K15" s="22" t="str"/>
    </x:row>
    <x:row r="18" ht="24" customHeight="1">
      <x:c r="A18" s="26" t="str">
        <x:v>1~14번 구조 및 현재 금액</x:v>
      </x:c>
    </x:row>
    <x:row r="19">
      <x:c r="A19" s="18" t="str">
        <x:v>번호</x:v>
      </x:c>
      <x:c r="B19" s="18" t="str">
        <x:v>대분류</x:v>
      </x:c>
      <x:c r="C19" s="18" t="str">
        <x:v>상세 내용</x:v>
      </x:c>
      <x:c r="D19" s="18" t="str">
        <x:v>현재 반영액</x:v>
      </x:c>
      <x:c r="E19" s="18" t="str">
        <x:v>금액 상태</x:v>
      </x:c>
      <x:c r="F19" s="18" t="str">
        <x:v>핵심 미확정</x:v>
      </x:c>
      <x:c r="G19" s="18" t="str">
        <x:v>연결 시트</x:v>
      </x:c>
      <x:c r="H19" s="18" t="str">
        <x:v>최종 조치</x:v>
      </x:c>
      <x:c r="I19" s="18" t="str">
        <x:v>설명</x:v>
      </x:c>
      <x:c r="J19" s="18" t="str">
        <x:v>우선순위</x:v>
      </x:c>
      <x:c r="K19" s="18" t="str">
        <x:v>완료</x:v>
      </x:c>
    </x:row>
    <x:row r="20">
      <x:c r="A20" s="22" t="n">
        <x:v>1</x:v>
      </x:c>
      <x:c r="B20" s="22" t="str">
        <x:v>금액 산정 기준</x:v>
      </x:c>
      <x:c r="C20" s="22" t="str">
        <x:v>공개가격/예상범위/정식견적/보증금 구분</x:v>
      </x:c>
      <x:c r="D20" s="28" t="n">
        <x:v>0</x:v>
      </x:c>
      <x:c r="E20" s="22" t="str">
        <x:v>기준</x:v>
      </x:c>
      <x:c r="F20" s="22" t="str">
        <x:v>-</x:v>
      </x:c>
      <x:c r="G20" s="22" t="str">
        <x:v>01_산정기준</x:v>
      </x:c>
      <x:c r="H20" s="22" t="str">
        <x:v>기준 유지</x:v>
      </x:c>
      <x:c r="I20" s="22" t="str">
        <x:v>모든 숫자의 출처 신뢰도 정의</x:v>
      </x:c>
      <x:c r="J20" s="22" t="str">
        <x:v>높음</x:v>
      </x:c>
      <x:c r="K20" s="22" t="str"/>
    </x:row>
    <x:row r="21">
      <x:c r="A21" s="22" t="n">
        <x:v>2</x:v>
      </x:c>
      <x:c r="B21" s="22" t="str">
        <x:v>공간 대관비</x:v>
      </x:c>
      <x:c r="C21" s="22" t="str">
        <x:v>연무장길33 15일</x:v>
      </x:c>
      <x:c r="D21" s="28" t="n">
        <x:v>105000000</x:v>
      </x:c>
      <x:c r="E21" s="22" t="str">
        <x:v>공개 최소가 계산</x:v>
      </x:c>
      <x:c r="F21" s="22" t="str">
        <x:v>실제 층/면적/VAT/관리비</x:v>
      </x:c>
      <x:c r="G21" s="22" t="str">
        <x:v>02_공간대관</x:v>
      </x:c>
      <x:c r="H21" s="22" t="str">
        <x:v>정식 계약가 교체</x:v>
      </x:c>
      <x:c r="I21" s="22" t="str">
        <x:v>최소가 기반이라 상승 가능</x:v>
      </x:c>
      <x:c r="J21" s="22" t="str">
        <x:v>최우선</x:v>
      </x:c>
      <x:c r="K21" s="22" t="str"/>
    </x:row>
    <x:row r="22">
      <x:c r="A22" s="22" t="n">
        <x:v>3</x:v>
      </x:c>
      <x:c r="B22" s="22" t="str">
        <x:v>기획·공간 디자인</x:v>
      </x:c>
      <x:c r="C22" s="22" t="str">
        <x:v>PM/기획/3D/실시설계/감리</x:v>
      </x:c>
      <x:c r="D22" s="28" t="n">
        <x:v>2612500</x:v>
      </x:c>
      <x:c r="E22" s="22" t="str">
        <x:v>일부 공개가격</x:v>
      </x:c>
      <x:c r="F22" s="22" t="str">
        <x:v>PM/실시설계/감리</x:v>
      </x:c>
      <x:c r="G22" s="22" t="str">
        <x:v>03_기획공간디자인</x:v>
      </x:c>
      <x:c r="H22" s="22" t="str">
        <x:v>견적 추가</x:v>
      </x:c>
      <x:c r="I22" s="22" t="str">
        <x:v>3D 패키지만 숫자 반영</x:v>
      </x:c>
      <x:c r="J22" s="22" t="str">
        <x:v>높음</x:v>
      </x:c>
      <x:c r="K22" s="22" t="str"/>
    </x:row>
    <x:row r="23">
      <x:c r="A23" s="22" t="n">
        <x:v>4</x:v>
      </x:c>
      <x:c r="B23" s="22" t="str">
        <x:v>공간 시공·VMD</x:v>
      </x:c>
      <x:c r="C23" s="22" t="str">
        <x:v>가벽/바닥/파사드/존별 제작/전기/사인</x:v>
      </x:c>
      <x:c r="D23" s="28" t="n">
        <x:v>116000000</x:v>
      </x:c>
      <x:c r="E23" s="22" t="str">
        <x:v>가예산 재검증</x:v>
      </x:c>
      <x:c r="F23" s="22" t="str">
        <x:v>전체 시공견적</x:v>
      </x:c>
      <x:c r="G23" s="22" t="str">
        <x:v>04_공간시공VMD</x:v>
      </x:c>
      <x:c r="H23" s="22" t="str">
        <x:v>3개사 견적 후 교체</x:v>
      </x:c>
      <x:c r="I23" s="22" t="str">
        <x:v>현재 평당 가정값</x:v>
      </x:c>
      <x:c r="J23" s="22" t="str">
        <x:v>최우선</x:v>
      </x:c>
      <x:c r="K23" s="22" t="str"/>
    </x:row>
    <x:row r="24">
      <x:c r="A24" s="22" t="n">
        <x:v>5</x:v>
      </x:c>
      <x:c r="B24" s="22" t="str">
        <x:v>철거·원상복구</x:v>
      </x:c>
      <x:c r="C24" s="22" t="str">
        <x:v>철거/폐기/복구/검수</x:v>
      </x:c>
      <x:c r="D24" s="28" t="n">
        <x:v>11600000</x:v>
      </x:c>
      <x:c r="E24" s="22" t="str">
        <x:v>가예산 재검증</x:v>
      </x:c>
      <x:c r="F24" s="22" t="str">
        <x:v>통합 철거견적</x:v>
      </x:c>
      <x:c r="G24" s="22" t="str">
        <x:v>05_철거원상복구</x:v>
      </x:c>
      <x:c r="H24" s="22" t="str">
        <x:v>4번 시공사 통합견적</x:v>
      </x:c>
      <x:c r="I24" s="22" t="str">
        <x:v>현재 시공비10% 가정</x:v>
      </x:c>
      <x:c r="J24" s="22" t="str">
        <x:v>높음</x:v>
      </x:c>
      <x:c r="K24" s="22" t="str"/>
    </x:row>
    <x:row r="25">
      <x:c r="A25" s="22" t="n">
        <x:v>6</x:v>
      </x:c>
      <x:c r="B25" s="22" t="str">
        <x:v>장비·디지털</x:v>
      </x:c>
      <x:c r="C25" s="22" t="str">
        <x:v>집기/API100/웨이팅/포토부스/QR웹</x:v>
      </x:c>
      <x:c r="D25" s="28" t="n">
        <x:v>9684900</x:v>
      </x:c>
      <x:c r="E25" s="22" t="str">
        <x:v>일부 공개가격</x:v>
      </x:c>
      <x:c r="F25" s="22" t="str">
        <x:v>포토부스10일/웨이팅/라이선스</x:v>
      </x:c>
      <x:c r="G25" s="22" t="str">
        <x:v>06_장비디지털</x:v>
      </x:c>
      <x:c r="H25" s="22" t="str">
        <x:v>별도견적 추가</x:v>
      </x:c>
      <x:c r="I25" s="22" t="str">
        <x:v>고정집기와 중복 금지</x:v>
      </x:c>
      <x:c r="J25" s="22" t="str">
        <x:v>높음</x:v>
      </x:c>
      <x:c r="K25" s="22" t="str"/>
    </x:row>
    <x:row r="26">
      <x:c r="A26" s="22" t="n">
        <x:v>7</x:v>
      </x:c>
      <x:c r="B26" s="22" t="str">
        <x:v>인쇄·운영 제작물</x:v>
      </x:c>
      <x:c r="C26" s="22" t="str">
        <x:v>팸플릿/스티커/카드/포스터/명찰/매뉴얼</x:v>
      </x:c>
      <x:c r="D26" s="28" t="n">
        <x:v>1027700</x:v>
      </x:c>
      <x:c r="E26" s="22" t="str">
        <x:v>일부 공개가격</x:v>
      </x:c>
      <x:c r="F26" s="22" t="str">
        <x:v>100부/VAT/배송/내지</x:v>
      </x:c>
      <x:c r="G26" s="22" t="str">
        <x:v>07_인쇄제작물</x:v>
      </x:c>
      <x:c r="H26" s="22" t="str">
        <x:v>묶음발주 확인</x:v>
      </x:c>
      <x:c r="I26" s="22" t="str">
        <x:v>2개 업체로 압축</x:v>
      </x:c>
      <x:c r="J26" s="22" t="str">
        <x:v>중간</x:v>
      </x:c>
      <x:c r="K26" s="22" t="str"/>
    </x:row>
    <x:row r="27">
      <x:c r="A27" s="22" t="n">
        <x:v>8</x:v>
      </x:c>
      <x:c r="B27" s="22" t="str">
        <x:v>샘플·테스터·위생</x:v>
      </x:c>
      <x:c r="C27" s="22" t="str">
        <x:v>샘플OEM/테스터/소모품</x:v>
      </x:c>
      <x:c r="D27" s="28" t="n">
        <x:v>330900</x:v>
      </x:c>
      <x:c r="E27" s="22" t="str">
        <x:v>일부 공개가격</x:v>
      </x:c>
      <x:c r="F27" s="22" t="str">
        <x:v>샘플/제품원가</x:v>
      </x:c>
      <x:c r="G27" s="22" t="str">
        <x:v>08_샘플테스터</x:v>
      </x:c>
      <x:c r="H27" s="22" t="str">
        <x:v>OEM견적 추가</x:v>
      </x:c>
      <x:c r="I27" s="22" t="str">
        <x:v>가상제품 원가 임의산정 금지</x:v>
      </x:c>
      <x:c r="J27" s="22" t="str">
        <x:v>높음</x:v>
      </x:c>
      <x:c r="K27" s="22" t="str"/>
    </x:row>
    <x:row r="28">
      <x:c r="A28" s="22" t="n">
        <x:v>9</x:v>
      </x:c>
      <x:c r="B28" s="22" t="str">
        <x:v>운영 인력비</x:v>
      </x:c>
      <x:c r="C28" s="22" t="str">
        <x:v>평일/주말/교육/리허설</x:v>
      </x:c>
      <x:c r="D28" s="28" t="n">
        <x:v>32292000</x:v>
      </x:c>
      <x:c r="E28" s="22" t="str">
        <x:v>직접인건비</x:v>
      </x:c>
      <x:c r="F28" s="22" t="str">
        <x:v>주휴/보험/대행</x:v>
      </x:c>
      <x:c r="G28" s="22" t="str">
        <x:v>09_운영인력</x:v>
      </x:c>
      <x:c r="H28" s="22" t="str">
        <x:v>계약형태 확정</x:v>
      </x:c>
      <x:c r="I28" s="22" t="str">
        <x:v>시급13,000원 기준</x:v>
      </x:c>
      <x:c r="J28" s="22" t="str">
        <x:v>높음</x:v>
      </x:c>
      <x:c r="K28" s="22" t="str"/>
    </x:row>
    <x:row r="29">
      <x:c r="A29" s="22" t="n">
        <x:v>10</x:v>
      </x:c>
      <x:c r="B29" s="22" t="str">
        <x:v>물류·청소·운영</x:v>
      </x:c>
      <x:c r="C29" s="22" t="str">
        <x:v>물류/청소/무전기/인터넷/폐기/퀵</x:v>
      </x:c>
      <x:c r="D29" s="28" t="n">
        <x:v>1281000</x:v>
      </x:c>
      <x:c r="E29" s="22" t="str">
        <x:v>일부 공개가격</x:v>
      </x:c>
      <x:c r="F29" s="22" t="str">
        <x:v>인터넷/폐기</x:v>
      </x:c>
      <x:c r="G29" s="22" t="str">
        <x:v>10_물류청소운영</x:v>
      </x:c>
      <x:c r="H29" s="22" t="str">
        <x:v>대관처 확인</x:v>
      </x:c>
      <x:c r="I29" s="22" t="str">
        <x:v>시공물류와 분리</x:v>
      </x:c>
      <x:c r="J29" s="22" t="str">
        <x:v>중간</x:v>
      </x:c>
      <x:c r="K29" s="22" t="str"/>
    </x:row>
    <x:row r="30">
      <x:c r="A30" s="22" t="n">
        <x:v>11</x:v>
      </x:c>
      <x:c r="B30" s="22" t="str">
        <x:v>홍보·콘텐츠</x:v>
      </x:c>
      <x:c r="C30" s="22" t="str">
        <x:v>SNS/인플루언서/메타/촬영/PR 제외</x:v>
      </x:c>
      <x:c r="D30" s="28" t="n">
        <x:v>1585525</x:v>
      </x:c>
      <x:c r="E30" s="22" t="str">
        <x:v>일부 공개가격</x:v>
      </x:c>
      <x:c r="F30" s="22" t="str">
        <x:v>SNS수수료/매체비</x:v>
      </x:c>
      <x:c r="G30" s="22" t="str">
        <x:v>11_홍보콘텐츠</x:v>
      </x:c>
      <x:c r="H30" s="22" t="str">
        <x:v>상품조건 확인</x:v>
      </x:c>
      <x:c r="I30" s="22" t="str">
        <x:v>3개 외주축</x:v>
      </x:c>
      <x:c r="J30" s="22" t="str">
        <x:v>중간</x:v>
      </x:c>
      <x:c r="K30" s="22" t="str"/>
    </x:row>
    <x:row r="31">
      <x:c r="A31" s="22" t="n">
        <x:v>12</x:v>
      </x:c>
      <x:c r="B31" s="22" t="str">
        <x:v>보험·안전</x:v>
      </x:c>
      <x:c r="C31" s="22" t="str">
        <x:v>보험/구급함/소화기/안전표지/검수</x:v>
      </x:c>
      <x:c r="D31" s="28" t="n">
        <x:v>65180</x:v>
      </x:c>
      <x:c r="E31" s="22" t="str">
        <x:v>일부 공개가격</x:v>
      </x:c>
      <x:c r="F31" s="22" t="str">
        <x:v>행사보험</x:v>
      </x:c>
      <x:c r="G31" s="22" t="str">
        <x:v>12_보험안전</x:v>
      </x:c>
      <x:c r="H31" s="22" t="str">
        <x:v>3개 보험사 비교</x:v>
      </x:c>
      <x:c r="I31" s="22" t="str">
        <x:v>방염은4번과 통합</x:v>
      </x:c>
      <x:c r="J31" s="22" t="str">
        <x:v>높음</x:v>
      </x:c>
      <x:c r="K31" s="22" t="str"/>
    </x:row>
    <x:row r="32">
      <x:c r="A32" s="22" t="n">
        <x:v>13</x:v>
      </x:c>
      <x:c r="B32" s="22" t="str">
        <x:v>예비비</x:v>
      </x:c>
      <x:c r="C32" s="22" t="str">
        <x:v>직접비10%</x:v>
      </x:c>
      <x:c r="D32" s="28" t="n">
        <x:v>28147971</x:v>
      </x:c>
      <x:c r="E32" s="22" t="str">
        <x:v>재계산 필요</x:v>
      </x:c>
      <x:c r="F32" s="22" t="str">
        <x:v>직접비 최종값</x:v>
      </x:c>
      <x:c r="G32" s="22" t="str">
        <x:v>13_예비비</x:v>
      </x:c>
      <x:c r="H32" s="22" t="str">
        <x:v>최종 직접비×10%</x:v>
      </x:c>
      <x:c r="I32" s="22" t="str">
        <x:v>돌발대응 전용</x:v>
      </x:c>
      <x:c r="J32" s="22" t="str">
        <x:v>높음</x:v>
      </x:c>
      <x:c r="K32" s="22" t="str"/>
    </x:row>
    <x:row r="33">
      <x:c r="A33" s="22" t="n">
        <x:v>14</x:v>
      </x:c>
      <x:c r="B33" s="22" t="str">
        <x:v>총예산</x:v>
      </x:c>
      <x:c r="C33" s="22" t="str">
        <x:v>직접비+예비비+미확정 관리</x:v>
      </x:c>
      <x:c r="D33" s="28" t="n">
        <x:v>309627676</x:v>
      </x:c>
      <x:c r="E33" s="22" t="str">
        <x:v>1차 예산</x:v>
      </x:c>
      <x:c r="F33" s="22" t="str">
        <x:v>모든 별도견적</x:v>
      </x:c>
      <x:c r="G33" s="22" t="str">
        <x:v>14_총예산</x:v>
      </x:c>
      <x:c r="H33" s="22" t="str">
        <x:v>정식견적 반영 후 확정</x:v>
      </x:c>
      <x:c r="I33" s="22" t="str">
        <x:v>확정 계약금액 아님</x:v>
      </x:c>
      <x:c r="J33" s="22" t="str">
        <x:v>최우선</x:v>
      </x:c>
      <x:c r="K33" s="22" t="str"/>
    </x:row>
    <x:row r="35" ht="34" customHeight="1">
      <x:c r="A35" s="38" t="str">
        <x:v>현재 확인 가능 직접비 281,479,705원 + 예비비 28,147,971원 = 1차 총예산 309,627,676원. 단, 4·5번은 근거 재검증이 필요한 기존 가예산이며 샘플·포토부스·보험·시공 등 별도 견적이 남아 있으므로 최종 계약예산으로 사용하면 안 된다.</x:v>
      </x:c>
    </x:row>
    <x:row r="37" ht="24" customHeight="1">
      <x:c r="A37" s="26" t="str">
        <x:v>권장 사용 순서</x:v>
      </x:c>
    </x:row>
    <x:row r="38">
      <x:c r="A38" s="18" t="str">
        <x:v>순서</x:v>
      </x:c>
      <x:c r="B38" s="18" t="str">
        <x:v>시트</x:v>
      </x:c>
      <x:c r="C38" s="18" t="str">
        <x:v>목적</x:v>
      </x:c>
      <x:c r="D38" s="18" t="str">
        <x:v>볼 내용</x:v>
      </x:c>
      <x:c r="E38" s="18" t="str">
        <x:v>수정 시 영향</x:v>
      </x:c>
      <x:c r="F38" s="18" t="str">
        <x:v>실무 사용</x:v>
      </x:c>
      <x:c r="G38" s="18" t="str">
        <x:v>비고</x:v>
      </x:c>
      <x:c r="H38" s="18" t="str">
        <x:v>담당</x:v>
      </x:c>
      <x:c r="I38" s="18" t="str">
        <x:v>완료</x:v>
      </x:c>
      <x:c r="J38" s="18" t="str">
        <x:v>날짜</x:v>
      </x:c>
      <x:c r="K38" s="18" t="str">
        <x:v>메모</x:v>
      </x:c>
    </x:row>
    <x:row r="39">
      <x:c r="A39" s="22" t="n">
        <x:v>1</x:v>
      </x:c>
      <x:c r="B39" s="22" t="str">
        <x:v>00_한눈에보기</x:v>
      </x:c>
      <x:c r="C39" s="22" t="str">
        <x:v>전체 구조 확인</x:v>
      </x:c>
      <x:c r="D39" s="22" t="str">
        <x:v>1~14 금액상태와 미확정</x:v>
      </x:c>
      <x:c r="E39" s="22" t="str">
        <x:v>전체</x:v>
      </x:c>
      <x:c r="F39" s="22" t="str">
        <x:v>보고/포트폴리오 백데이터</x:v>
      </x:c>
      <x:c r="G39" s="22" t="str"/>
      <x:c r="H39" s="22" t="str"/>
      <x:c r="I39" s="22" t="str"/>
      <x:c r="J39" s="22" t="str"/>
      <x:c r="K39" s="22" t="str"/>
    </x:row>
    <x:row r="40">
      <x:c r="A40" s="22" t="n">
        <x:v>2</x:v>
      </x:c>
      <x:c r="B40" s="22" t="str">
        <x:v>01_산정기준</x:v>
      </x:c>
      <x:c r="C40" s="22" t="str">
        <x:v>금액 신뢰도 확인</x:v>
      </x:c>
      <x:c r="D40" s="22" t="str">
        <x:v>공개가/견적/예상 구분</x:v>
      </x:c>
      <x:c r="E40" s="22" t="str">
        <x:v>전체</x:v>
      </x:c>
      <x:c r="F40" s="22" t="str">
        <x:v>예산검증</x:v>
      </x:c>
      <x:c r="G40" s="22" t="str"/>
      <x:c r="H40" s="22" t="str"/>
      <x:c r="I40" s="22" t="str"/>
      <x:c r="J40" s="22" t="str"/>
      <x:c r="K40" s="22" t="str"/>
    </x:row>
    <x:row r="41">
      <x:c r="A41" s="22" t="n">
        <x:v>3</x:v>
      </x:c>
      <x:c r="B41" s="22" t="str">
        <x:v>02~12 상세시트</x:v>
      </x:c>
      <x:c r="C41" s="22" t="str">
        <x:v>세부 산출근거</x:v>
      </x:c>
      <x:c r="D41" s="22" t="str">
        <x:v>세부번호·업체·가격·수량</x:v>
      </x:c>
      <x:c r="E41" s="22" t="str">
        <x:v>14 총예산</x:v>
      </x:c>
      <x:c r="F41" s="22" t="str">
        <x:v>견적요청/발주</x:v>
      </x:c>
      <x:c r="G41" s="22" t="str"/>
      <x:c r="H41" s="22" t="str"/>
      <x:c r="I41" s="22" t="str"/>
      <x:c r="J41" s="22" t="str"/>
      <x:c r="K41" s="22" t="str"/>
    </x:row>
    <x:row r="42">
      <x:c r="A42" s="22" t="n">
        <x:v>4</x:v>
      </x:c>
      <x:c r="B42" s="22" t="str">
        <x:v>13_예비비</x:v>
      </x:c>
      <x:c r="C42" s="22" t="str">
        <x:v>돌발비 계산</x:v>
      </x:c>
      <x:c r="D42" s="22" t="str">
        <x:v>최종 직접비10%</x:v>
      </x:c>
      <x:c r="E42" s="22" t="str">
        <x:v>14 총예산</x:v>
      </x:c>
      <x:c r="F42" s="22" t="str">
        <x:v>예산관리</x:v>
      </x:c>
      <x:c r="G42" s="22" t="str"/>
      <x:c r="H42" s="22" t="str"/>
      <x:c r="I42" s="22" t="str"/>
      <x:c r="J42" s="22" t="str"/>
      <x:c r="K42" s="22" t="str"/>
    </x:row>
    <x:row r="43">
      <x:c r="A43" s="22" t="n">
        <x:v>5</x:v>
      </x:c>
      <x:c r="B43" s="22" t="str">
        <x:v>14_총예산</x:v>
      </x:c>
      <x:c r="C43" s="22" t="str">
        <x:v>경영 요약</x:v>
      </x:c>
      <x:c r="D43" s="22" t="str">
        <x:v>직접비/예비비/미확정/VAT</x:v>
      </x:c>
      <x:c r="E43" s="22" t="str">
        <x:v>최종</x:v>
      </x:c>
      <x:c r="F43" s="22" t="str">
        <x:v>의사결정</x:v>
      </x:c>
      <x:c r="G43" s="22" t="str"/>
      <x:c r="H43" s="22" t="str"/>
      <x:c r="I43" s="22" t="str"/>
      <x:c r="J43" s="22" t="str"/>
      <x:c r="K43" s="22" t="str"/>
    </x:row>
  </x:sheetData>
  <x:mergeCells>
    <x:mergeCell ref="A1:K1"/>
    <x:mergeCell ref="A3:K3"/>
    <x:mergeCell ref="A5:K5"/>
    <x:mergeCell ref="A18:K18"/>
    <x:mergeCell ref="A35:K35"/>
    <x:mergeCell ref="A37:K37"/>
  </x:mergeCells>
  <x:pageMargins left="0.7" right="0.7" top="0.75" bottom="0.75" header="0.3" footer="0.3"/>
</x:worksheet>
</file>